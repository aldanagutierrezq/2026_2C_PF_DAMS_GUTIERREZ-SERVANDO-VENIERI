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cultad\2026\Segundo Cuatrimestre\Proyecto Mecatronico\"/>
    </mc:Choice>
  </mc:AlternateContent>
  <bookViews>
    <workbookView xWindow="0" yWindow="0" windowWidth="23040" windowHeight="910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D31" i="1"/>
  <c r="D42" i="1" s="1"/>
  <c r="D25" i="1"/>
  <c r="D17" i="1"/>
  <c r="D8" i="1"/>
  <c r="F38" i="1" l="1"/>
  <c r="F31" i="1"/>
  <c r="F25" i="1"/>
  <c r="F17" i="1"/>
  <c r="E38" i="1" l="1"/>
  <c r="E31" i="1"/>
  <c r="E25" i="1"/>
  <c r="E17" i="1"/>
  <c r="E8" i="1"/>
  <c r="G5" i="1" l="1"/>
  <c r="I6" i="1" s="1"/>
  <c r="I5" i="1" l="1"/>
  <c r="I7" i="1"/>
  <c r="J6" i="1"/>
  <c r="J7" i="1" l="1"/>
  <c r="K6" i="1"/>
  <c r="K7" i="1" l="1"/>
  <c r="L6" i="1"/>
  <c r="L7" i="1" l="1"/>
  <c r="M6" i="1"/>
  <c r="N6" i="1" l="1"/>
  <c r="M7" i="1"/>
  <c r="N7" i="1" l="1"/>
  <c r="O6" i="1"/>
  <c r="O7" i="1" l="1"/>
  <c r="P6" i="1"/>
  <c r="P5" i="1" l="1"/>
  <c r="P7" i="1"/>
  <c r="Q6" i="1"/>
  <c r="Q7" i="1" l="1"/>
  <c r="R6" i="1"/>
  <c r="R7" i="1" l="1"/>
  <c r="S6" i="1"/>
  <c r="T6" i="1" l="1"/>
  <c r="S7" i="1"/>
  <c r="T7" i="1" l="1"/>
  <c r="U6" i="1"/>
  <c r="U7" i="1" l="1"/>
  <c r="V6" i="1"/>
  <c r="W6" i="1" l="1"/>
  <c r="V7" i="1"/>
  <c r="W7" i="1" l="1"/>
  <c r="W5" i="1"/>
  <c r="X6" i="1"/>
  <c r="X7" i="1" l="1"/>
  <c r="Y6" i="1"/>
  <c r="Z6" i="1" l="1"/>
  <c r="Y7" i="1"/>
  <c r="AA6" i="1" l="1"/>
  <c r="Z7" i="1"/>
  <c r="AA7" i="1" l="1"/>
  <c r="AB6" i="1"/>
  <c r="AB7" i="1" l="1"/>
  <c r="AC6" i="1"/>
  <c r="AC7" i="1" l="1"/>
  <c r="AD6" i="1"/>
  <c r="AD7" i="1" l="1"/>
  <c r="AD5" i="1"/>
  <c r="AE6" i="1"/>
  <c r="AF6" i="1" l="1"/>
  <c r="AE7" i="1"/>
  <c r="AG6" i="1" l="1"/>
  <c r="AF7" i="1"/>
  <c r="AH6" i="1" l="1"/>
  <c r="AG7" i="1"/>
  <c r="AI6" i="1" l="1"/>
  <c r="AH7" i="1"/>
  <c r="AJ6" i="1" l="1"/>
  <c r="AI7" i="1"/>
  <c r="AJ7" i="1" l="1"/>
  <c r="AK6" i="1"/>
  <c r="AK5" i="1" l="1"/>
  <c r="AK7" i="1"/>
  <c r="AL6" i="1"/>
  <c r="AL7" i="1" l="1"/>
  <c r="AM6" i="1"/>
  <c r="AN6" i="1" l="1"/>
  <c r="AM7" i="1"/>
  <c r="AN7" i="1" l="1"/>
  <c r="AO6" i="1"/>
  <c r="AO7" i="1" l="1"/>
  <c r="AP6" i="1"/>
  <c r="AP7" i="1" l="1"/>
  <c r="AQ6" i="1"/>
  <c r="AR6" i="1" l="1"/>
  <c r="AQ7" i="1"/>
  <c r="AS6" i="1" l="1"/>
  <c r="AR7" i="1"/>
  <c r="AR5" i="1"/>
  <c r="AS7" i="1" l="1"/>
  <c r="AT6" i="1"/>
  <c r="AT7" i="1" l="1"/>
  <c r="AU6" i="1"/>
  <c r="AV6" i="1" l="1"/>
  <c r="AU7" i="1"/>
  <c r="AW6" i="1" l="1"/>
  <c r="AV7" i="1"/>
  <c r="AW7" i="1" l="1"/>
  <c r="AX6" i="1"/>
  <c r="AY6" i="1" l="1"/>
  <c r="AX7" i="1"/>
  <c r="AZ6" i="1" l="1"/>
  <c r="AY5" i="1"/>
  <c r="AY7" i="1"/>
  <c r="AZ7" i="1" l="1"/>
  <c r="BA6" i="1"/>
  <c r="BB6" i="1" l="1"/>
  <c r="BA7" i="1"/>
  <c r="BB7" i="1" l="1"/>
  <c r="BC6" i="1"/>
  <c r="BD6" i="1" l="1"/>
  <c r="BC7" i="1"/>
  <c r="BD7" i="1" l="1"/>
  <c r="BE6" i="1"/>
  <c r="BE7" i="1" l="1"/>
  <c r="BF6" i="1"/>
  <c r="BG6" i="1" l="1"/>
  <c r="BF7" i="1"/>
  <c r="BF5" i="1"/>
  <c r="BG7" i="1" l="1"/>
  <c r="BH6" i="1"/>
  <c r="BH7" i="1" l="1"/>
  <c r="BI6" i="1"/>
  <c r="BJ6" i="1" l="1"/>
  <c r="BI7" i="1"/>
  <c r="BK6" i="1" l="1"/>
  <c r="BJ7" i="1"/>
  <c r="BL6" i="1" l="1"/>
  <c r="BK7" i="1"/>
  <c r="BM6" i="1" l="1"/>
  <c r="BL7" i="1"/>
  <c r="BN6" i="1" l="1"/>
  <c r="BM5" i="1"/>
  <c r="BM7" i="1"/>
  <c r="BN7" i="1" l="1"/>
  <c r="BO6" i="1"/>
  <c r="BP6" i="1" l="1"/>
  <c r="BO7" i="1"/>
  <c r="BQ6" i="1" l="1"/>
  <c r="BP7" i="1"/>
  <c r="BQ7" i="1" l="1"/>
  <c r="BR6" i="1"/>
  <c r="BR7" i="1" l="1"/>
  <c r="BS6" i="1"/>
  <c r="BT6" i="1" l="1"/>
  <c r="BS7" i="1"/>
  <c r="BU6" i="1" l="1"/>
  <c r="BT5" i="1"/>
  <c r="BT7" i="1"/>
  <c r="BV6" i="1" l="1"/>
  <c r="BU7" i="1"/>
  <c r="BV7" i="1" l="1"/>
  <c r="BW6" i="1"/>
  <c r="BW7" i="1" l="1"/>
  <c r="BX6" i="1"/>
  <c r="BX7" i="1" l="1"/>
  <c r="BY6" i="1"/>
  <c r="BY7" i="1" l="1"/>
  <c r="BZ6" i="1"/>
  <c r="BZ7" i="1" l="1"/>
  <c r="CA6" i="1"/>
  <c r="CA5" i="1" l="1"/>
  <c r="CB6" i="1"/>
  <c r="CA7" i="1"/>
  <c r="CB7" i="1" l="1"/>
  <c r="CC6" i="1"/>
  <c r="CD6" i="1" l="1"/>
  <c r="CC7" i="1"/>
  <c r="CE6" i="1" l="1"/>
  <c r="CD7" i="1"/>
  <c r="CE7" i="1" l="1"/>
  <c r="CF6" i="1"/>
  <c r="CG6" i="1" l="1"/>
  <c r="CH6" i="1" s="1"/>
  <c r="CF7" i="1"/>
  <c r="CI6" i="1" l="1"/>
  <c r="CH7" i="1"/>
  <c r="CH5" i="1"/>
  <c r="CG7" i="1"/>
  <c r="CJ6" i="1" l="1"/>
  <c r="CI7" i="1"/>
  <c r="CK6" i="1" l="1"/>
  <c r="CJ7" i="1"/>
  <c r="CL6" i="1" l="1"/>
  <c r="CK7" i="1"/>
  <c r="CM6" i="1" l="1"/>
  <c r="CL7" i="1"/>
  <c r="CN6" i="1" l="1"/>
  <c r="CM7" i="1"/>
  <c r="CO6" i="1" l="1"/>
  <c r="CN7" i="1"/>
  <c r="CP6" i="1" l="1"/>
  <c r="CO5" i="1"/>
  <c r="CO7" i="1"/>
  <c r="CQ6" i="1" l="1"/>
  <c r="CP7" i="1"/>
  <c r="CR6" i="1" l="1"/>
  <c r="CQ7" i="1"/>
  <c r="CS6" i="1" l="1"/>
  <c r="CR7" i="1"/>
  <c r="CT6" i="1" l="1"/>
  <c r="CS7" i="1"/>
  <c r="CU6" i="1" l="1"/>
  <c r="CT7" i="1"/>
  <c r="CV6" i="1" l="1"/>
  <c r="CU7" i="1"/>
  <c r="CV7" i="1" l="1"/>
  <c r="CW6" i="1"/>
  <c r="CV5" i="1"/>
  <c r="CX6" i="1" l="1"/>
  <c r="CW7" i="1"/>
  <c r="CY6" i="1" l="1"/>
  <c r="CX7" i="1"/>
  <c r="CZ6" i="1" l="1"/>
  <c r="CY7" i="1"/>
  <c r="DA6" i="1" l="1"/>
  <c r="CZ7" i="1"/>
  <c r="DB6" i="1" l="1"/>
  <c r="DA7" i="1"/>
  <c r="DC6" i="1" l="1"/>
  <c r="DB7" i="1"/>
  <c r="DC7" i="1" l="1"/>
  <c r="DD6" i="1"/>
  <c r="DC5" i="1"/>
  <c r="DE6" i="1" l="1"/>
  <c r="DD7" i="1"/>
  <c r="DF6" i="1" l="1"/>
  <c r="DE7" i="1"/>
  <c r="DG6" i="1" l="1"/>
  <c r="DF7" i="1"/>
  <c r="DH6" i="1" l="1"/>
  <c r="DG7" i="1"/>
  <c r="DI6" i="1" l="1"/>
  <c r="DI7" i="1" s="1"/>
  <c r="DH7" i="1"/>
</calcChain>
</file>

<file path=xl/sharedStrings.xml><?xml version="1.0" encoding="utf-8"?>
<sst xmlns="http://schemas.openxmlformats.org/spreadsheetml/2006/main" count="62" uniqueCount="44">
  <si>
    <t>TAREA</t>
  </si>
  <si>
    <t>RESPONSABLE</t>
  </si>
  <si>
    <t>PROGRESO</t>
  </si>
  <si>
    <t>INICIO</t>
  </si>
  <si>
    <t>FIN</t>
  </si>
  <si>
    <t>Persona X</t>
  </si>
  <si>
    <t>INICIO DEL PROYECTO</t>
  </si>
  <si>
    <t>FASE 1 - ALCANCE, ANÁLISIS Y PROPUESTA</t>
  </si>
  <si>
    <t>1.1. Definir proyecto</t>
  </si>
  <si>
    <t>1.2 Funciones y capacidades</t>
  </si>
  <si>
    <t>1.3 Propuesta inicial y final</t>
  </si>
  <si>
    <t>1.4 Análisis de viabilidad técnica y riesgos</t>
  </si>
  <si>
    <t>1.5 Requerimientos no funcionales</t>
  </si>
  <si>
    <t>1.6 Selección preliminar de tecnologías</t>
  </si>
  <si>
    <t>1.7 Estructura del proyecto y roles</t>
  </si>
  <si>
    <t>1.8 Planificacion del cronograma</t>
  </si>
  <si>
    <t>FASE 2 - DISEÑO CONCEPTUAL</t>
  </si>
  <si>
    <t>FASE 3 - MODELADO CAD Y SIMULACION</t>
  </si>
  <si>
    <t>3.3 Simulacion estructural (FEA)</t>
  </si>
  <si>
    <t>3.4 Simulacion de movimiento</t>
  </si>
  <si>
    <t>3.5 Ajustes finales del CAD</t>
  </si>
  <si>
    <t>4.2 Compra y preparacion de componentes</t>
  </si>
  <si>
    <t>4.3 Pruebas de encastre y tolerancia</t>
  </si>
  <si>
    <t>4.4 Ensamble mecánico del robot</t>
  </si>
  <si>
    <t>4.5 Integración electrónica y programacion</t>
  </si>
  <si>
    <t>4.6 Ajustes</t>
  </si>
  <si>
    <t>FASE 5 - INTEGRACION DE SOFTWARE Y PRUEBAS REALES</t>
  </si>
  <si>
    <t>5.2 Calibracion y prueba final</t>
  </si>
  <si>
    <t>5.1 Integracion final del software</t>
  </si>
  <si>
    <t>3.1 Modelado CAD (Chasis y Estructura)</t>
  </si>
  <si>
    <t>3.2 Ensamble general en CAD</t>
  </si>
  <si>
    <t>Grupo</t>
  </si>
  <si>
    <t>2.1 Bocetos y diagramas conceptuales</t>
  </si>
  <si>
    <t>2.2 Validacion conceptual</t>
  </si>
  <si>
    <t>2.3 Diseño del mecanismo locomocion</t>
  </si>
  <si>
    <t>2.4 Diseño del sistema de navegación GPS</t>
  </si>
  <si>
    <t>2.5 Diseño del sistema de reparto/carga</t>
  </si>
  <si>
    <t>2.6 Arquitectura preliminar</t>
  </si>
  <si>
    <t>2.7 Diseño del flujo de autonomía</t>
  </si>
  <si>
    <t>2.1 Arquitectura preliminar</t>
  </si>
  <si>
    <t>FASE 4 - CONSTRUCCION Y ENSAMBLAJE</t>
  </si>
  <si>
    <t>4.1 Fabricación y compra de piezas</t>
  </si>
  <si>
    <t xml:space="preserve">HORAS </t>
  </si>
  <si>
    <t>Horas 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</si>
</sst>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;@"/>
    <numFmt numFmtId="165" formatCode="dd"/>
    <numFmt numFmtId="166" formatCode="ddd\,\ dd/mm/yy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0" fontId="0" fillId="0" borderId="6" xfId="0" applyBorder="1"/>
    <xf numFmtId="9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9" fontId="0" fillId="7" borderId="6" xfId="0" applyNumberFormat="1" applyFill="1" applyBorder="1" applyAlignment="1">
      <alignment horizontal="center" vertical="center"/>
    </xf>
    <xf numFmtId="164" fontId="0" fillId="7" borderId="6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4" fontId="0" fillId="8" borderId="6" xfId="0" applyNumberFormat="1" applyFill="1" applyBorder="1" applyAlignment="1">
      <alignment horizontal="center" vertical="center"/>
    </xf>
    <xf numFmtId="165" fontId="3" fillId="6" borderId="0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165" fontId="3" fillId="5" borderId="0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1" xfId="0" applyBorder="1"/>
    <xf numFmtId="0" fontId="0" fillId="0" borderId="0" xfId="0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64" fontId="0" fillId="8" borderId="10" xfId="0" applyNumberForma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0" fillId="0" borderId="21" xfId="0" applyBorder="1"/>
    <xf numFmtId="0" fontId="0" fillId="0" borderId="22" xfId="0" applyBorder="1"/>
    <xf numFmtId="0" fontId="1" fillId="2" borderId="20" xfId="0" applyFont="1" applyFill="1" applyBorder="1" applyAlignment="1">
      <alignment horizontal="center" vertical="center"/>
    </xf>
    <xf numFmtId="165" fontId="3" fillId="5" borderId="23" xfId="0" applyNumberFormat="1" applyFont="1" applyFill="1" applyBorder="1" applyAlignment="1">
      <alignment horizontal="center" vertical="center"/>
    </xf>
    <xf numFmtId="165" fontId="3" fillId="5" borderId="17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165" fontId="3" fillId="5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none">
          <bgColor auto="1"/>
        </patternFill>
      </fill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2" fmlaLink="$F$5" horiz="1" max="98" page="10" val="4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15240</xdr:rowOff>
        </xdr:from>
        <xdr:to>
          <xdr:col>8</xdr:col>
          <xdr:colOff>297180</xdr:colOff>
          <xdr:row>4</xdr:row>
          <xdr:rowOff>220980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85726</xdr:colOff>
      <xdr:row>0</xdr:row>
      <xdr:rowOff>0</xdr:rowOff>
    </xdr:from>
    <xdr:to>
      <xdr:col>1</xdr:col>
      <xdr:colOff>1362075</xdr:colOff>
      <xdr:row>5</xdr:row>
      <xdr:rowOff>167058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0"/>
          <a:ext cx="1371599" cy="1157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DI44"/>
  <sheetViews>
    <sheetView showGridLines="0" tabSelected="1" zoomScaleNormal="100" workbookViewId="0">
      <pane ySplit="7" topLeftCell="A9" activePane="bottomLeft" state="frozen"/>
      <selection pane="bottomLeft" activeCell="D32" sqref="D32"/>
    </sheetView>
  </sheetViews>
  <sheetFormatPr baseColWidth="10" defaultRowHeight="14.4" x14ac:dyDescent="0.3"/>
  <cols>
    <col min="1" max="1" width="1.44140625" customWidth="1"/>
    <col min="2" max="2" width="37.44140625" customWidth="1"/>
    <col min="3" max="3" width="15.6640625" customWidth="1"/>
    <col min="4" max="4" width="10.21875" customWidth="1"/>
    <col min="5" max="5" width="11.44140625" style="1"/>
    <col min="8" max="8" width="1.109375" customWidth="1"/>
    <col min="9" max="140" width="4.6640625" customWidth="1"/>
  </cols>
  <sheetData>
    <row r="3" spans="2:113" ht="15.6" x14ac:dyDescent="0.3">
      <c r="B3" s="59"/>
      <c r="C3" s="59"/>
      <c r="D3" s="59"/>
      <c r="E3" s="59"/>
      <c r="F3" s="59"/>
      <c r="G3" s="59"/>
    </row>
    <row r="4" spans="2:113" ht="14.25" customHeight="1" x14ac:dyDescent="0.3">
      <c r="I4" s="6"/>
    </row>
    <row r="5" spans="2:113" ht="18" customHeight="1" x14ac:dyDescent="0.3">
      <c r="F5" s="27">
        <v>45</v>
      </c>
      <c r="G5" s="28">
        <f>F6+F5</f>
        <v>46289</v>
      </c>
      <c r="I5" s="52">
        <f>I6</f>
        <v>46289</v>
      </c>
      <c r="J5" s="53"/>
      <c r="K5" s="53"/>
      <c r="L5" s="53"/>
      <c r="M5" s="53"/>
      <c r="N5" s="53"/>
      <c r="O5" s="54"/>
      <c r="P5" s="52">
        <f>P6</f>
        <v>46296</v>
      </c>
      <c r="Q5" s="53"/>
      <c r="R5" s="53"/>
      <c r="S5" s="53"/>
      <c r="T5" s="53"/>
      <c r="U5" s="53"/>
      <c r="V5" s="54"/>
      <c r="W5" s="52">
        <f t="shared" ref="W5" si="0">W6</f>
        <v>46303</v>
      </c>
      <c r="X5" s="53"/>
      <c r="Y5" s="53"/>
      <c r="Z5" s="53"/>
      <c r="AA5" s="53"/>
      <c r="AB5" s="53"/>
      <c r="AC5" s="54"/>
      <c r="AD5" s="52">
        <f t="shared" ref="AD5" si="1">AD6</f>
        <v>46310</v>
      </c>
      <c r="AE5" s="53"/>
      <c r="AF5" s="53"/>
      <c r="AG5" s="53"/>
      <c r="AH5" s="53"/>
      <c r="AI5" s="53"/>
      <c r="AJ5" s="54"/>
      <c r="AK5" s="52">
        <f t="shared" ref="AK5" si="2">AK6</f>
        <v>46317</v>
      </c>
      <c r="AL5" s="53"/>
      <c r="AM5" s="53"/>
      <c r="AN5" s="53"/>
      <c r="AO5" s="53"/>
      <c r="AP5" s="53"/>
      <c r="AQ5" s="54"/>
      <c r="AR5" s="52">
        <f t="shared" ref="AR5" si="3">AR6</f>
        <v>46324</v>
      </c>
      <c r="AS5" s="53"/>
      <c r="AT5" s="53"/>
      <c r="AU5" s="53"/>
      <c r="AV5" s="53"/>
      <c r="AW5" s="53"/>
      <c r="AX5" s="54"/>
      <c r="AY5" s="52">
        <f t="shared" ref="AY5" si="4">AY6</f>
        <v>46331</v>
      </c>
      <c r="AZ5" s="53"/>
      <c r="BA5" s="53"/>
      <c r="BB5" s="53"/>
      <c r="BC5" s="53"/>
      <c r="BD5" s="53"/>
      <c r="BE5" s="54"/>
      <c r="BF5" s="52">
        <f t="shared" ref="BF5" si="5">BF6</f>
        <v>46338</v>
      </c>
      <c r="BG5" s="53"/>
      <c r="BH5" s="53"/>
      <c r="BI5" s="53"/>
      <c r="BJ5" s="53"/>
      <c r="BK5" s="53"/>
      <c r="BL5" s="54"/>
      <c r="BM5" s="52">
        <f t="shared" ref="BM5" si="6">BM6</f>
        <v>46345</v>
      </c>
      <c r="BN5" s="53"/>
      <c r="BO5" s="53"/>
      <c r="BP5" s="53"/>
      <c r="BQ5" s="53"/>
      <c r="BR5" s="53"/>
      <c r="BS5" s="54"/>
      <c r="BT5" s="52">
        <f t="shared" ref="BT5" si="7">BT6</f>
        <v>46352</v>
      </c>
      <c r="BU5" s="53"/>
      <c r="BV5" s="53"/>
      <c r="BW5" s="53"/>
      <c r="BX5" s="53"/>
      <c r="BY5" s="53"/>
      <c r="BZ5" s="54"/>
      <c r="CA5" s="52">
        <f t="shared" ref="CA5" si="8">CA6</f>
        <v>46359</v>
      </c>
      <c r="CB5" s="53"/>
      <c r="CC5" s="53"/>
      <c r="CD5" s="53"/>
      <c r="CE5" s="53"/>
      <c r="CF5" s="53"/>
      <c r="CG5" s="54"/>
      <c r="CH5" s="52">
        <f t="shared" ref="CH5" si="9">CH6</f>
        <v>46366</v>
      </c>
      <c r="CI5" s="53"/>
      <c r="CJ5" s="53"/>
      <c r="CK5" s="53"/>
      <c r="CL5" s="53"/>
      <c r="CM5" s="53"/>
      <c r="CN5" s="54"/>
      <c r="CO5" s="52">
        <f t="shared" ref="CO5" si="10">CO6</f>
        <v>46373</v>
      </c>
      <c r="CP5" s="53"/>
      <c r="CQ5" s="53"/>
      <c r="CR5" s="53"/>
      <c r="CS5" s="53"/>
      <c r="CT5" s="53"/>
      <c r="CU5" s="54"/>
      <c r="CV5" s="52">
        <f t="shared" ref="CV5" si="11">CV6</f>
        <v>46380</v>
      </c>
      <c r="CW5" s="53"/>
      <c r="CX5" s="53"/>
      <c r="CY5" s="53"/>
      <c r="CZ5" s="53"/>
      <c r="DA5" s="53"/>
      <c r="DB5" s="54"/>
      <c r="DC5" s="52">
        <f t="shared" ref="DC5" si="12">DC6</f>
        <v>46387</v>
      </c>
      <c r="DD5" s="53"/>
      <c r="DE5" s="53"/>
      <c r="DF5" s="53"/>
      <c r="DG5" s="53"/>
      <c r="DH5" s="53"/>
      <c r="DI5" s="54"/>
    </row>
    <row r="6" spans="2:113" x14ac:dyDescent="0.3">
      <c r="C6" s="57" t="s">
        <v>6</v>
      </c>
      <c r="D6" s="58"/>
      <c r="E6" s="58"/>
      <c r="F6" s="55">
        <v>46244</v>
      </c>
      <c r="G6" s="56"/>
      <c r="I6" s="3">
        <f>G5</f>
        <v>46289</v>
      </c>
      <c r="J6" s="4">
        <f>I6+1</f>
        <v>46290</v>
      </c>
      <c r="K6" s="4">
        <f>J6+1</f>
        <v>46291</v>
      </c>
      <c r="L6" s="4">
        <f t="shared" ref="L6:BW6" si="13">K6+1</f>
        <v>46292</v>
      </c>
      <c r="M6" s="4">
        <f t="shared" si="13"/>
        <v>46293</v>
      </c>
      <c r="N6" s="4">
        <f t="shared" si="13"/>
        <v>46294</v>
      </c>
      <c r="O6" s="5">
        <f t="shared" si="13"/>
        <v>46295</v>
      </c>
      <c r="P6" s="3">
        <f t="shared" si="13"/>
        <v>46296</v>
      </c>
      <c r="Q6" s="4">
        <f t="shared" si="13"/>
        <v>46297</v>
      </c>
      <c r="R6" s="4">
        <f t="shared" si="13"/>
        <v>46298</v>
      </c>
      <c r="S6" s="4">
        <f t="shared" si="13"/>
        <v>46299</v>
      </c>
      <c r="T6" s="4">
        <f t="shared" si="13"/>
        <v>46300</v>
      </c>
      <c r="U6" s="4">
        <f t="shared" si="13"/>
        <v>46301</v>
      </c>
      <c r="V6" s="5">
        <f t="shared" si="13"/>
        <v>46302</v>
      </c>
      <c r="W6" s="3">
        <f t="shared" si="13"/>
        <v>46303</v>
      </c>
      <c r="X6" s="4">
        <f t="shared" si="13"/>
        <v>46304</v>
      </c>
      <c r="Y6" s="4">
        <f t="shared" si="13"/>
        <v>46305</v>
      </c>
      <c r="Z6" s="4">
        <f t="shared" si="13"/>
        <v>46306</v>
      </c>
      <c r="AA6" s="4">
        <f t="shared" si="13"/>
        <v>46307</v>
      </c>
      <c r="AB6" s="4">
        <f t="shared" si="13"/>
        <v>46308</v>
      </c>
      <c r="AC6" s="5">
        <f t="shared" si="13"/>
        <v>46309</v>
      </c>
      <c r="AD6" s="3">
        <f t="shared" si="13"/>
        <v>46310</v>
      </c>
      <c r="AE6" s="15">
        <f t="shared" si="13"/>
        <v>46311</v>
      </c>
      <c r="AF6" s="15">
        <f t="shared" si="13"/>
        <v>46312</v>
      </c>
      <c r="AG6" s="15">
        <f t="shared" si="13"/>
        <v>46313</v>
      </c>
      <c r="AH6" s="15">
        <f t="shared" si="13"/>
        <v>46314</v>
      </c>
      <c r="AI6" s="15">
        <f t="shared" si="13"/>
        <v>46315</v>
      </c>
      <c r="AJ6" s="16">
        <f t="shared" si="13"/>
        <v>46316</v>
      </c>
      <c r="AK6" s="17">
        <f t="shared" si="13"/>
        <v>46317</v>
      </c>
      <c r="AL6" s="15">
        <f t="shared" si="13"/>
        <v>46318</v>
      </c>
      <c r="AM6" s="15">
        <f t="shared" si="13"/>
        <v>46319</v>
      </c>
      <c r="AN6" s="15">
        <f t="shared" si="13"/>
        <v>46320</v>
      </c>
      <c r="AO6" s="15">
        <f t="shared" si="13"/>
        <v>46321</v>
      </c>
      <c r="AP6" s="15">
        <f t="shared" si="13"/>
        <v>46322</v>
      </c>
      <c r="AQ6" s="16">
        <f t="shared" si="13"/>
        <v>46323</v>
      </c>
      <c r="AR6" s="17">
        <f t="shared" si="13"/>
        <v>46324</v>
      </c>
      <c r="AS6" s="15">
        <f t="shared" si="13"/>
        <v>46325</v>
      </c>
      <c r="AT6" s="15">
        <f t="shared" si="13"/>
        <v>46326</v>
      </c>
      <c r="AU6" s="15">
        <f t="shared" si="13"/>
        <v>46327</v>
      </c>
      <c r="AV6" s="15">
        <f t="shared" si="13"/>
        <v>46328</v>
      </c>
      <c r="AW6" s="15">
        <f t="shared" si="13"/>
        <v>46329</v>
      </c>
      <c r="AX6" s="16">
        <f t="shared" si="13"/>
        <v>46330</v>
      </c>
      <c r="AY6" s="17">
        <f t="shared" si="13"/>
        <v>46331</v>
      </c>
      <c r="AZ6" s="15">
        <f t="shared" si="13"/>
        <v>46332</v>
      </c>
      <c r="BA6" s="15">
        <f t="shared" si="13"/>
        <v>46333</v>
      </c>
      <c r="BB6" s="15">
        <f t="shared" si="13"/>
        <v>46334</v>
      </c>
      <c r="BC6" s="15">
        <f t="shared" si="13"/>
        <v>46335</v>
      </c>
      <c r="BD6" s="15">
        <f t="shared" si="13"/>
        <v>46336</v>
      </c>
      <c r="BE6" s="16">
        <f t="shared" si="13"/>
        <v>46337</v>
      </c>
      <c r="BF6" s="17">
        <f t="shared" si="13"/>
        <v>46338</v>
      </c>
      <c r="BG6" s="15">
        <f t="shared" si="13"/>
        <v>46339</v>
      </c>
      <c r="BH6" s="15">
        <f t="shared" si="13"/>
        <v>46340</v>
      </c>
      <c r="BI6" s="19">
        <f t="shared" si="13"/>
        <v>46341</v>
      </c>
      <c r="BJ6" s="19">
        <f t="shared" si="13"/>
        <v>46342</v>
      </c>
      <c r="BK6" s="19">
        <f t="shared" si="13"/>
        <v>46343</v>
      </c>
      <c r="BL6" s="20">
        <f t="shared" si="13"/>
        <v>46344</v>
      </c>
      <c r="BM6" s="18">
        <f t="shared" si="13"/>
        <v>46345</v>
      </c>
      <c r="BN6" s="19">
        <f t="shared" si="13"/>
        <v>46346</v>
      </c>
      <c r="BO6" s="19">
        <f t="shared" si="13"/>
        <v>46347</v>
      </c>
      <c r="BP6" s="19">
        <f t="shared" si="13"/>
        <v>46348</v>
      </c>
      <c r="BQ6" s="19">
        <f t="shared" si="13"/>
        <v>46349</v>
      </c>
      <c r="BR6" s="19">
        <f t="shared" si="13"/>
        <v>46350</v>
      </c>
      <c r="BS6" s="20">
        <f t="shared" si="13"/>
        <v>46351</v>
      </c>
      <c r="BT6" s="18">
        <f t="shared" si="13"/>
        <v>46352</v>
      </c>
      <c r="BU6" s="19">
        <f t="shared" si="13"/>
        <v>46353</v>
      </c>
      <c r="BV6" s="19">
        <f t="shared" si="13"/>
        <v>46354</v>
      </c>
      <c r="BW6" s="19">
        <f t="shared" si="13"/>
        <v>46355</v>
      </c>
      <c r="BX6" s="19">
        <f t="shared" ref="BX6:CG6" si="14">BW6+1</f>
        <v>46356</v>
      </c>
      <c r="BY6" s="19">
        <f t="shared" si="14"/>
        <v>46357</v>
      </c>
      <c r="BZ6" s="20">
        <f t="shared" si="14"/>
        <v>46358</v>
      </c>
      <c r="CA6" s="43">
        <f>BZ6+1</f>
        <v>46359</v>
      </c>
      <c r="CB6" s="44">
        <f t="shared" si="14"/>
        <v>46360</v>
      </c>
      <c r="CC6" s="44">
        <f t="shared" si="14"/>
        <v>46361</v>
      </c>
      <c r="CD6" s="44">
        <f t="shared" si="14"/>
        <v>46362</v>
      </c>
      <c r="CE6" s="44">
        <f t="shared" si="14"/>
        <v>46363</v>
      </c>
      <c r="CF6" s="44">
        <f t="shared" si="14"/>
        <v>46364</v>
      </c>
      <c r="CG6" s="44">
        <f t="shared" si="14"/>
        <v>46365</v>
      </c>
      <c r="CH6" s="44">
        <f t="shared" ref="CH6" si="15">CG6+1</f>
        <v>46366</v>
      </c>
      <c r="CI6" s="44">
        <f t="shared" ref="CI6" si="16">CH6+1</f>
        <v>46367</v>
      </c>
      <c r="CJ6" s="44">
        <f t="shared" ref="CJ6" si="17">CI6+1</f>
        <v>46368</v>
      </c>
      <c r="CK6" s="44">
        <f t="shared" ref="CK6" si="18">CJ6+1</f>
        <v>46369</v>
      </c>
      <c r="CL6" s="44">
        <f t="shared" ref="CL6" si="19">CK6+1</f>
        <v>46370</v>
      </c>
      <c r="CM6" s="44">
        <f t="shared" ref="CM6" si="20">CL6+1</f>
        <v>46371</v>
      </c>
      <c r="CN6" s="44">
        <f t="shared" ref="CN6" si="21">CM6+1</f>
        <v>46372</v>
      </c>
      <c r="CO6" s="44">
        <f t="shared" ref="CO6" si="22">CN6+1</f>
        <v>46373</v>
      </c>
      <c r="CP6" s="44">
        <f t="shared" ref="CP6" si="23">CO6+1</f>
        <v>46374</v>
      </c>
      <c r="CQ6" s="44">
        <f t="shared" ref="CQ6" si="24">CP6+1</f>
        <v>46375</v>
      </c>
      <c r="CR6" s="44">
        <f t="shared" ref="CR6" si="25">CQ6+1</f>
        <v>46376</v>
      </c>
      <c r="CS6" s="44">
        <f t="shared" ref="CS6" si="26">CR6+1</f>
        <v>46377</v>
      </c>
      <c r="CT6" s="44">
        <f t="shared" ref="CT6" si="27">CS6+1</f>
        <v>46378</v>
      </c>
      <c r="CU6" s="44">
        <f t="shared" ref="CU6" si="28">CT6+1</f>
        <v>46379</v>
      </c>
      <c r="CV6" s="44">
        <f t="shared" ref="CV6" si="29">CU6+1</f>
        <v>46380</v>
      </c>
      <c r="CW6" s="44">
        <f t="shared" ref="CW6" si="30">CV6+1</f>
        <v>46381</v>
      </c>
      <c r="CX6" s="44">
        <f t="shared" ref="CX6" si="31">CW6+1</f>
        <v>46382</v>
      </c>
      <c r="CY6" s="44">
        <f t="shared" ref="CY6" si="32">CX6+1</f>
        <v>46383</v>
      </c>
      <c r="CZ6" s="44">
        <f t="shared" ref="CZ6" si="33">CY6+1</f>
        <v>46384</v>
      </c>
      <c r="DA6" s="44">
        <f t="shared" ref="DA6" si="34">CZ6+1</f>
        <v>46385</v>
      </c>
      <c r="DB6" s="44">
        <f t="shared" ref="DB6" si="35">DA6+1</f>
        <v>46386</v>
      </c>
      <c r="DC6" s="44">
        <f t="shared" ref="DC6" si="36">DB6+1</f>
        <v>46387</v>
      </c>
      <c r="DD6" s="44">
        <f t="shared" ref="DD6" si="37">DC6+1</f>
        <v>46388</v>
      </c>
      <c r="DE6" s="44">
        <f t="shared" ref="DE6" si="38">DD6+1</f>
        <v>46389</v>
      </c>
      <c r="DF6" s="44">
        <f t="shared" ref="DF6" si="39">DE6+1</f>
        <v>46390</v>
      </c>
      <c r="DG6" s="44">
        <f t="shared" ref="DG6" si="40">DF6+1</f>
        <v>46391</v>
      </c>
      <c r="DH6" s="44">
        <f t="shared" ref="DH6" si="41">DG6+1</f>
        <v>46392</v>
      </c>
      <c r="DI6" s="50">
        <f t="shared" ref="DI6" si="42">DH6+1</f>
        <v>46393</v>
      </c>
    </row>
    <row r="7" spans="2:113" x14ac:dyDescent="0.3">
      <c r="B7" s="38" t="s">
        <v>0</v>
      </c>
      <c r="C7" s="2" t="s">
        <v>1</v>
      </c>
      <c r="D7" s="2" t="s">
        <v>42</v>
      </c>
      <c r="E7" s="2" t="s">
        <v>2</v>
      </c>
      <c r="F7" s="2" t="s">
        <v>3</v>
      </c>
      <c r="G7" s="29" t="s">
        <v>4</v>
      </c>
      <c r="H7" s="37"/>
      <c r="I7" s="22" t="str">
        <f>(UPPER(LEFT(TEXT(I6,"DDD"),1)))</f>
        <v>J</v>
      </c>
      <c r="J7" s="22" t="str">
        <f t="shared" ref="J7:BU7" si="43">(UPPER(LEFT(TEXT(J6,"DDD"))))</f>
        <v>V</v>
      </c>
      <c r="K7" s="22" t="str">
        <f t="shared" si="43"/>
        <v>S</v>
      </c>
      <c r="L7" s="22" t="str">
        <f t="shared" si="43"/>
        <v>D</v>
      </c>
      <c r="M7" s="22" t="str">
        <f t="shared" si="43"/>
        <v>L</v>
      </c>
      <c r="N7" s="22" t="str">
        <f t="shared" si="43"/>
        <v>M</v>
      </c>
      <c r="O7" s="22" t="str">
        <f t="shared" si="43"/>
        <v>M</v>
      </c>
      <c r="P7" s="22" t="str">
        <f t="shared" si="43"/>
        <v>J</v>
      </c>
      <c r="Q7" s="22" t="str">
        <f t="shared" si="43"/>
        <v>V</v>
      </c>
      <c r="R7" s="22" t="str">
        <f t="shared" si="43"/>
        <v>S</v>
      </c>
      <c r="S7" s="22" t="str">
        <f t="shared" si="43"/>
        <v>D</v>
      </c>
      <c r="T7" s="22" t="str">
        <f t="shared" si="43"/>
        <v>L</v>
      </c>
      <c r="U7" s="22" t="str">
        <f t="shared" si="43"/>
        <v>M</v>
      </c>
      <c r="V7" s="22" t="str">
        <f t="shared" si="43"/>
        <v>M</v>
      </c>
      <c r="W7" s="22" t="str">
        <f t="shared" si="43"/>
        <v>J</v>
      </c>
      <c r="X7" s="22" t="str">
        <f t="shared" si="43"/>
        <v>V</v>
      </c>
      <c r="Y7" s="22" t="str">
        <f t="shared" si="43"/>
        <v>S</v>
      </c>
      <c r="Z7" s="22" t="str">
        <f t="shared" si="43"/>
        <v>D</v>
      </c>
      <c r="AA7" s="22" t="str">
        <f t="shared" si="43"/>
        <v>L</v>
      </c>
      <c r="AB7" s="22" t="str">
        <f t="shared" si="43"/>
        <v>M</v>
      </c>
      <c r="AC7" s="23" t="str">
        <f t="shared" si="43"/>
        <v>M</v>
      </c>
      <c r="AD7" s="22" t="str">
        <f t="shared" si="43"/>
        <v>J</v>
      </c>
      <c r="AE7" s="22" t="str">
        <f t="shared" si="43"/>
        <v>V</v>
      </c>
      <c r="AF7" s="22" t="str">
        <f t="shared" si="43"/>
        <v>S</v>
      </c>
      <c r="AG7" s="22" t="str">
        <f t="shared" si="43"/>
        <v>D</v>
      </c>
      <c r="AH7" s="22" t="str">
        <f t="shared" si="43"/>
        <v>L</v>
      </c>
      <c r="AI7" s="22" t="str">
        <f t="shared" si="43"/>
        <v>M</v>
      </c>
      <c r="AJ7" s="23" t="str">
        <f t="shared" si="43"/>
        <v>M</v>
      </c>
      <c r="AK7" s="22" t="str">
        <f t="shared" si="43"/>
        <v>J</v>
      </c>
      <c r="AL7" s="22" t="str">
        <f t="shared" si="43"/>
        <v>V</v>
      </c>
      <c r="AM7" s="22" t="str">
        <f t="shared" si="43"/>
        <v>S</v>
      </c>
      <c r="AN7" s="22" t="str">
        <f t="shared" si="43"/>
        <v>D</v>
      </c>
      <c r="AO7" s="22" t="str">
        <f t="shared" si="43"/>
        <v>L</v>
      </c>
      <c r="AP7" s="22" t="str">
        <f t="shared" si="43"/>
        <v>M</v>
      </c>
      <c r="AQ7" s="23" t="str">
        <f t="shared" si="43"/>
        <v>M</v>
      </c>
      <c r="AR7" s="22" t="str">
        <f t="shared" si="43"/>
        <v>J</v>
      </c>
      <c r="AS7" s="22" t="str">
        <f t="shared" si="43"/>
        <v>V</v>
      </c>
      <c r="AT7" s="22" t="str">
        <f t="shared" si="43"/>
        <v>S</v>
      </c>
      <c r="AU7" s="22" t="str">
        <f t="shared" si="43"/>
        <v>D</v>
      </c>
      <c r="AV7" s="22" t="str">
        <f t="shared" si="43"/>
        <v>L</v>
      </c>
      <c r="AW7" s="22" t="str">
        <f t="shared" si="43"/>
        <v>M</v>
      </c>
      <c r="AX7" s="23" t="str">
        <f t="shared" si="43"/>
        <v>M</v>
      </c>
      <c r="AY7" s="22" t="str">
        <f t="shared" si="43"/>
        <v>J</v>
      </c>
      <c r="AZ7" s="22" t="str">
        <f t="shared" si="43"/>
        <v>V</v>
      </c>
      <c r="BA7" s="22" t="str">
        <f t="shared" si="43"/>
        <v>S</v>
      </c>
      <c r="BB7" s="22" t="str">
        <f t="shared" si="43"/>
        <v>D</v>
      </c>
      <c r="BC7" s="22" t="str">
        <f t="shared" si="43"/>
        <v>L</v>
      </c>
      <c r="BD7" s="22" t="str">
        <f t="shared" si="43"/>
        <v>M</v>
      </c>
      <c r="BE7" s="23" t="str">
        <f t="shared" si="43"/>
        <v>M</v>
      </c>
      <c r="BF7" s="22" t="str">
        <f t="shared" si="43"/>
        <v>J</v>
      </c>
      <c r="BG7" s="22" t="str">
        <f t="shared" si="43"/>
        <v>V</v>
      </c>
      <c r="BH7" s="22" t="str">
        <f t="shared" si="43"/>
        <v>S</v>
      </c>
      <c r="BI7" s="22" t="str">
        <f t="shared" si="43"/>
        <v>D</v>
      </c>
      <c r="BJ7" s="22" t="str">
        <f t="shared" si="43"/>
        <v>L</v>
      </c>
      <c r="BK7" s="22" t="str">
        <f t="shared" si="43"/>
        <v>M</v>
      </c>
      <c r="BL7" s="23" t="str">
        <f t="shared" si="43"/>
        <v>M</v>
      </c>
      <c r="BM7" s="22" t="str">
        <f t="shared" si="43"/>
        <v>J</v>
      </c>
      <c r="BN7" s="22" t="str">
        <f t="shared" si="43"/>
        <v>V</v>
      </c>
      <c r="BO7" s="22" t="str">
        <f t="shared" si="43"/>
        <v>S</v>
      </c>
      <c r="BP7" s="22" t="str">
        <f t="shared" si="43"/>
        <v>D</v>
      </c>
      <c r="BQ7" s="22" t="str">
        <f t="shared" si="43"/>
        <v>L</v>
      </c>
      <c r="BR7" s="22" t="str">
        <f t="shared" si="43"/>
        <v>M</v>
      </c>
      <c r="BS7" s="23" t="str">
        <f t="shared" si="43"/>
        <v>M</v>
      </c>
      <c r="BT7" s="22" t="str">
        <f t="shared" si="43"/>
        <v>J</v>
      </c>
      <c r="BU7" s="22" t="str">
        <f t="shared" si="43"/>
        <v>V</v>
      </c>
      <c r="BV7" s="22" t="str">
        <f t="shared" ref="BV7:DI7" si="44">(UPPER(LEFT(TEXT(BV6,"DDD"))))</f>
        <v>S</v>
      </c>
      <c r="BW7" s="22" t="str">
        <f t="shared" si="44"/>
        <v>D</v>
      </c>
      <c r="BX7" s="22" t="str">
        <f t="shared" si="44"/>
        <v>L</v>
      </c>
      <c r="BY7" s="22" t="str">
        <f t="shared" si="44"/>
        <v>M</v>
      </c>
      <c r="BZ7" s="23" t="str">
        <f t="shared" si="44"/>
        <v>M</v>
      </c>
      <c r="CA7" s="22" t="str">
        <f t="shared" si="44"/>
        <v>J</v>
      </c>
      <c r="CB7" s="22" t="str">
        <f t="shared" si="44"/>
        <v>V</v>
      </c>
      <c r="CC7" s="22" t="str">
        <f t="shared" si="44"/>
        <v>S</v>
      </c>
      <c r="CD7" s="22" t="str">
        <f t="shared" si="44"/>
        <v>D</v>
      </c>
      <c r="CE7" s="22" t="str">
        <f t="shared" si="44"/>
        <v>L</v>
      </c>
      <c r="CF7" s="22" t="str">
        <f t="shared" si="44"/>
        <v>M</v>
      </c>
      <c r="CG7" s="22" t="str">
        <f t="shared" si="44"/>
        <v>M</v>
      </c>
      <c r="CH7" s="42" t="str">
        <f t="shared" si="44"/>
        <v>J</v>
      </c>
      <c r="CI7" s="42" t="str">
        <f t="shared" si="44"/>
        <v>V</v>
      </c>
      <c r="CJ7" s="42" t="str">
        <f t="shared" si="44"/>
        <v>S</v>
      </c>
      <c r="CK7" s="42" t="str">
        <f t="shared" si="44"/>
        <v>D</v>
      </c>
      <c r="CL7" s="42" t="str">
        <f t="shared" si="44"/>
        <v>L</v>
      </c>
      <c r="CM7" s="42" t="str">
        <f t="shared" si="44"/>
        <v>M</v>
      </c>
      <c r="CN7" s="42" t="str">
        <f t="shared" si="44"/>
        <v>M</v>
      </c>
      <c r="CO7" s="42" t="str">
        <f t="shared" si="44"/>
        <v>J</v>
      </c>
      <c r="CP7" s="42" t="str">
        <f t="shared" si="44"/>
        <v>V</v>
      </c>
      <c r="CQ7" s="42" t="str">
        <f t="shared" si="44"/>
        <v>S</v>
      </c>
      <c r="CR7" s="42" t="str">
        <f t="shared" si="44"/>
        <v>D</v>
      </c>
      <c r="CS7" s="42" t="str">
        <f t="shared" si="44"/>
        <v>L</v>
      </c>
      <c r="CT7" s="42" t="str">
        <f t="shared" si="44"/>
        <v>M</v>
      </c>
      <c r="CU7" s="42" t="str">
        <f t="shared" si="44"/>
        <v>M</v>
      </c>
      <c r="CV7" s="42" t="str">
        <f t="shared" si="44"/>
        <v>J</v>
      </c>
      <c r="CW7" s="42" t="str">
        <f t="shared" si="44"/>
        <v>V</v>
      </c>
      <c r="CX7" s="42" t="str">
        <f t="shared" si="44"/>
        <v>S</v>
      </c>
      <c r="CY7" s="42" t="str">
        <f t="shared" si="44"/>
        <v>D</v>
      </c>
      <c r="CZ7" s="42" t="str">
        <f t="shared" si="44"/>
        <v>L</v>
      </c>
      <c r="DA7" s="42" t="str">
        <f t="shared" si="44"/>
        <v>M</v>
      </c>
      <c r="DB7" s="42" t="str">
        <f t="shared" si="44"/>
        <v>M</v>
      </c>
      <c r="DC7" s="42" t="str">
        <f t="shared" si="44"/>
        <v>J</v>
      </c>
      <c r="DD7" s="42" t="str">
        <f t="shared" si="44"/>
        <v>V</v>
      </c>
      <c r="DE7" s="42" t="str">
        <f t="shared" si="44"/>
        <v>S</v>
      </c>
      <c r="DF7" s="42" t="str">
        <f t="shared" si="44"/>
        <v>D</v>
      </c>
      <c r="DG7" s="42" t="str">
        <f t="shared" si="44"/>
        <v>L</v>
      </c>
      <c r="DH7" s="42" t="str">
        <f t="shared" si="44"/>
        <v>M</v>
      </c>
      <c r="DI7" s="51" t="str">
        <f t="shared" si="44"/>
        <v>M</v>
      </c>
    </row>
    <row r="8" spans="2:113" x14ac:dyDescent="0.3">
      <c r="B8" s="39" t="s">
        <v>7</v>
      </c>
      <c r="C8" s="10"/>
      <c r="D8" s="10">
        <f>SUM(D9:D16)</f>
        <v>0</v>
      </c>
      <c r="E8" s="11">
        <f>SUM(E9:E16)/8</f>
        <v>0.375</v>
      </c>
      <c r="F8" s="12">
        <v>46244</v>
      </c>
      <c r="G8" s="30">
        <v>46272</v>
      </c>
      <c r="H8" s="37"/>
      <c r="I8" s="34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41"/>
      <c r="CG8" s="21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6"/>
    </row>
    <row r="9" spans="2:113" x14ac:dyDescent="0.3">
      <c r="B9" s="35" t="s">
        <v>8</v>
      </c>
      <c r="C9" s="9" t="s">
        <v>31</v>
      </c>
      <c r="D9" s="9"/>
      <c r="E9" s="7">
        <v>1</v>
      </c>
      <c r="F9" s="8">
        <v>46244</v>
      </c>
      <c r="G9" s="31">
        <v>46251</v>
      </c>
      <c r="H9" s="37"/>
      <c r="I9" s="3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21"/>
      <c r="CG9" s="6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7"/>
    </row>
    <row r="10" spans="2:113" x14ac:dyDescent="0.3">
      <c r="B10" s="35" t="s">
        <v>9</v>
      </c>
      <c r="C10" s="9" t="s">
        <v>31</v>
      </c>
      <c r="D10" s="9"/>
      <c r="E10" s="7">
        <v>0.5</v>
      </c>
      <c r="F10" s="8">
        <v>46251</v>
      </c>
      <c r="G10" s="31">
        <v>46261</v>
      </c>
      <c r="H10" s="37"/>
      <c r="I10" s="3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7"/>
    </row>
    <row r="11" spans="2:113" x14ac:dyDescent="0.3">
      <c r="B11" s="35" t="s">
        <v>10</v>
      </c>
      <c r="C11" s="9" t="s">
        <v>31</v>
      </c>
      <c r="D11" s="9"/>
      <c r="E11" s="7">
        <v>0.5</v>
      </c>
      <c r="F11" s="8">
        <v>46258</v>
      </c>
      <c r="G11" s="31">
        <v>46272</v>
      </c>
      <c r="H11" s="37"/>
      <c r="I11" s="3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7"/>
    </row>
    <row r="12" spans="2:113" x14ac:dyDescent="0.3">
      <c r="B12" s="35" t="s">
        <v>11</v>
      </c>
      <c r="C12" s="9" t="s">
        <v>31</v>
      </c>
      <c r="D12" s="9"/>
      <c r="E12" s="7">
        <v>0</v>
      </c>
      <c r="F12" s="8">
        <v>46258</v>
      </c>
      <c r="G12" s="31">
        <v>46265</v>
      </c>
      <c r="H12" s="37"/>
      <c r="I12" s="3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  <c r="DF12" s="40"/>
      <c r="DG12" s="40"/>
      <c r="DH12" s="40"/>
      <c r="DI12" s="47"/>
    </row>
    <row r="13" spans="2:113" x14ac:dyDescent="0.3">
      <c r="B13" s="35" t="s">
        <v>12</v>
      </c>
      <c r="C13" s="9" t="s">
        <v>31</v>
      </c>
      <c r="D13" s="9"/>
      <c r="E13" s="7">
        <v>0</v>
      </c>
      <c r="F13" s="8">
        <v>46258</v>
      </c>
      <c r="G13" s="31">
        <v>46265</v>
      </c>
      <c r="H13" s="37"/>
      <c r="I13" s="3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7"/>
    </row>
    <row r="14" spans="2:113" x14ac:dyDescent="0.3">
      <c r="B14" s="35" t="s">
        <v>13</v>
      </c>
      <c r="C14" s="9" t="s">
        <v>31</v>
      </c>
      <c r="D14" s="9"/>
      <c r="E14" s="7">
        <v>0</v>
      </c>
      <c r="F14" s="8">
        <v>46265</v>
      </c>
      <c r="G14" s="31">
        <v>46272</v>
      </c>
      <c r="H14" s="37"/>
      <c r="I14" s="3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7"/>
    </row>
    <row r="15" spans="2:113" x14ac:dyDescent="0.3">
      <c r="B15" s="35" t="s">
        <v>14</v>
      </c>
      <c r="C15" s="9" t="s">
        <v>31</v>
      </c>
      <c r="D15" s="9"/>
      <c r="E15" s="7">
        <v>0</v>
      </c>
      <c r="F15" s="8">
        <v>46265</v>
      </c>
      <c r="G15" s="31">
        <v>46272</v>
      </c>
      <c r="H15" s="37"/>
      <c r="I15" s="3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7"/>
    </row>
    <row r="16" spans="2:113" x14ac:dyDescent="0.3">
      <c r="B16" s="35" t="s">
        <v>15</v>
      </c>
      <c r="C16" s="9" t="s">
        <v>31</v>
      </c>
      <c r="D16" s="9"/>
      <c r="E16" s="7">
        <v>1</v>
      </c>
      <c r="F16" s="8">
        <v>46258</v>
      </c>
      <c r="G16" s="31">
        <v>46261</v>
      </c>
      <c r="H16" s="37"/>
      <c r="I16" s="3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7"/>
    </row>
    <row r="17" spans="2:113" x14ac:dyDescent="0.3">
      <c r="B17" s="39" t="s">
        <v>16</v>
      </c>
      <c r="C17" s="10"/>
      <c r="D17" s="10">
        <f>SUM(D18:D24)</f>
        <v>0</v>
      </c>
      <c r="E17" s="11">
        <f>SUM(E18:E24)/7</f>
        <v>0</v>
      </c>
      <c r="F17" s="12">
        <f>G8</f>
        <v>46272</v>
      </c>
      <c r="G17" s="30">
        <v>46289</v>
      </c>
      <c r="H17" s="37"/>
      <c r="I17" s="3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7"/>
    </row>
    <row r="18" spans="2:113" x14ac:dyDescent="0.3">
      <c r="B18" s="35" t="s">
        <v>39</v>
      </c>
      <c r="C18" s="9" t="s">
        <v>5</v>
      </c>
      <c r="D18" s="9"/>
      <c r="E18" s="7">
        <v>0</v>
      </c>
      <c r="F18" s="8">
        <v>46272</v>
      </c>
      <c r="G18" s="31">
        <v>46275</v>
      </c>
      <c r="H18" s="37"/>
      <c r="I18" s="35"/>
      <c r="J18" s="6"/>
      <c r="K18" s="6"/>
      <c r="L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  <c r="DF18" s="40"/>
      <c r="DG18" s="40"/>
      <c r="DH18" s="40"/>
      <c r="DI18" s="47"/>
    </row>
    <row r="19" spans="2:113" x14ac:dyDescent="0.3">
      <c r="B19" s="35" t="s">
        <v>32</v>
      </c>
      <c r="C19" s="9" t="s">
        <v>5</v>
      </c>
      <c r="D19" s="9"/>
      <c r="E19" s="7">
        <v>0</v>
      </c>
      <c r="F19" s="8">
        <v>46275</v>
      </c>
      <c r="G19" s="31">
        <v>46279</v>
      </c>
      <c r="H19" s="37"/>
      <c r="I19" s="3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7"/>
    </row>
    <row r="20" spans="2:113" x14ac:dyDescent="0.3">
      <c r="B20" s="35" t="s">
        <v>33</v>
      </c>
      <c r="C20" s="9" t="s">
        <v>5</v>
      </c>
      <c r="D20" s="9"/>
      <c r="E20" s="7">
        <v>0</v>
      </c>
      <c r="F20" s="8">
        <v>46275</v>
      </c>
      <c r="G20" s="31">
        <v>46279</v>
      </c>
      <c r="H20" s="37"/>
      <c r="I20" s="3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7"/>
    </row>
    <row r="21" spans="2:113" x14ac:dyDescent="0.3">
      <c r="B21" s="35" t="s">
        <v>34</v>
      </c>
      <c r="C21" s="9" t="s">
        <v>5</v>
      </c>
      <c r="D21" s="9"/>
      <c r="E21" s="7">
        <v>0</v>
      </c>
      <c r="F21" s="8">
        <v>46279</v>
      </c>
      <c r="G21" s="31">
        <v>46289</v>
      </c>
      <c r="H21" s="37"/>
      <c r="I21" s="3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7"/>
    </row>
    <row r="22" spans="2:113" x14ac:dyDescent="0.3">
      <c r="B22" s="35" t="s">
        <v>35</v>
      </c>
      <c r="C22" s="9" t="s">
        <v>5</v>
      </c>
      <c r="D22" s="9"/>
      <c r="E22" s="7">
        <v>0</v>
      </c>
      <c r="F22" s="13">
        <v>46279</v>
      </c>
      <c r="G22" s="32">
        <v>46289</v>
      </c>
      <c r="H22" s="37"/>
      <c r="I22" s="3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7"/>
    </row>
    <row r="23" spans="2:113" x14ac:dyDescent="0.3">
      <c r="B23" s="35" t="s">
        <v>36</v>
      </c>
      <c r="C23" s="9" t="s">
        <v>5</v>
      </c>
      <c r="D23" s="9"/>
      <c r="E23" s="7">
        <v>0</v>
      </c>
      <c r="F23" s="13">
        <v>46286</v>
      </c>
      <c r="G23" s="32">
        <v>46289</v>
      </c>
      <c r="H23" s="37"/>
      <c r="I23" s="3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7"/>
    </row>
    <row r="24" spans="2:113" x14ac:dyDescent="0.3">
      <c r="B24" s="35" t="s">
        <v>38</v>
      </c>
      <c r="C24" s="9" t="s">
        <v>5</v>
      </c>
      <c r="D24" s="9"/>
      <c r="E24" s="7">
        <v>0</v>
      </c>
      <c r="F24" s="13">
        <v>46286</v>
      </c>
      <c r="G24" s="32">
        <v>46289</v>
      </c>
      <c r="H24" s="37"/>
      <c r="I24" s="3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7"/>
    </row>
    <row r="25" spans="2:113" x14ac:dyDescent="0.3">
      <c r="B25" s="39" t="s">
        <v>17</v>
      </c>
      <c r="C25" s="10"/>
      <c r="D25" s="10">
        <f>SUM(D26:D30)</f>
        <v>0</v>
      </c>
      <c r="E25" s="11">
        <f>SUM(E26:E30)/5</f>
        <v>0</v>
      </c>
      <c r="F25" s="12">
        <f>G17</f>
        <v>46289</v>
      </c>
      <c r="G25" s="30">
        <v>46303</v>
      </c>
      <c r="H25" s="37"/>
      <c r="I25" s="3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7"/>
    </row>
    <row r="26" spans="2:113" x14ac:dyDescent="0.3">
      <c r="B26" s="35" t="s">
        <v>29</v>
      </c>
      <c r="C26" s="9" t="s">
        <v>5</v>
      </c>
      <c r="D26" s="9"/>
      <c r="E26" s="7">
        <v>0</v>
      </c>
      <c r="F26" s="8">
        <v>46289</v>
      </c>
      <c r="G26" s="31">
        <v>46266</v>
      </c>
      <c r="H26" s="37"/>
      <c r="I26" s="3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7"/>
    </row>
    <row r="27" spans="2:113" x14ac:dyDescent="0.3">
      <c r="B27" s="35" t="s">
        <v>30</v>
      </c>
      <c r="C27" s="9" t="s">
        <v>5</v>
      </c>
      <c r="D27" s="9"/>
      <c r="E27" s="7">
        <v>0</v>
      </c>
      <c r="F27" s="8">
        <v>46289</v>
      </c>
      <c r="G27" s="31">
        <v>46266</v>
      </c>
      <c r="H27" s="37"/>
      <c r="I27" s="3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7"/>
    </row>
    <row r="28" spans="2:113" x14ac:dyDescent="0.3">
      <c r="B28" s="35" t="s">
        <v>18</v>
      </c>
      <c r="C28" s="9" t="s">
        <v>5</v>
      </c>
      <c r="D28" s="9"/>
      <c r="E28" s="7">
        <v>0</v>
      </c>
      <c r="F28" s="8">
        <v>46266</v>
      </c>
      <c r="G28" s="31">
        <v>46273</v>
      </c>
      <c r="H28" s="37"/>
      <c r="I28" s="3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7"/>
    </row>
    <row r="29" spans="2:113" x14ac:dyDescent="0.3">
      <c r="B29" s="35" t="s">
        <v>19</v>
      </c>
      <c r="C29" s="9" t="s">
        <v>5</v>
      </c>
      <c r="D29" s="9"/>
      <c r="E29" s="7">
        <v>0</v>
      </c>
      <c r="F29" s="8">
        <v>46266</v>
      </c>
      <c r="G29" s="31">
        <v>46273</v>
      </c>
      <c r="H29" s="37"/>
      <c r="I29" s="3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7"/>
    </row>
    <row r="30" spans="2:113" x14ac:dyDescent="0.3">
      <c r="B30" s="35" t="s">
        <v>20</v>
      </c>
      <c r="C30" s="9" t="s">
        <v>5</v>
      </c>
      <c r="D30" s="9"/>
      <c r="E30" s="7">
        <v>0</v>
      </c>
      <c r="F30" s="8">
        <v>46266</v>
      </c>
      <c r="G30" s="31">
        <v>46273</v>
      </c>
      <c r="H30" s="37"/>
      <c r="I30" s="3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7"/>
    </row>
    <row r="31" spans="2:113" x14ac:dyDescent="0.3">
      <c r="B31" s="39" t="s">
        <v>40</v>
      </c>
      <c r="C31" s="10"/>
      <c r="D31" s="10">
        <f>SUM(D32:D37)</f>
        <v>0</v>
      </c>
      <c r="E31" s="11">
        <f>SUM(E32:E37)/6</f>
        <v>0</v>
      </c>
      <c r="F31" s="12">
        <f>G25</f>
        <v>46303</v>
      </c>
      <c r="G31" s="30">
        <v>46324</v>
      </c>
      <c r="H31" s="37"/>
      <c r="I31" s="3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7"/>
    </row>
    <row r="32" spans="2:113" x14ac:dyDescent="0.3">
      <c r="B32" s="35" t="s">
        <v>41</v>
      </c>
      <c r="C32" s="9"/>
      <c r="D32" s="9"/>
      <c r="E32" s="7">
        <v>0</v>
      </c>
      <c r="F32" s="14">
        <v>46303</v>
      </c>
      <c r="G32" s="33">
        <v>46310</v>
      </c>
      <c r="H32" s="37"/>
      <c r="I32" s="3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40"/>
      <c r="DB32" s="40"/>
      <c r="DC32" s="40"/>
      <c r="DD32" s="40"/>
      <c r="DE32" s="40"/>
      <c r="DF32" s="40"/>
      <c r="DG32" s="40"/>
      <c r="DH32" s="40"/>
      <c r="DI32" s="47"/>
    </row>
    <row r="33" spans="2:113" x14ac:dyDescent="0.3">
      <c r="B33" s="35" t="s">
        <v>21</v>
      </c>
      <c r="C33" s="9"/>
      <c r="D33" s="9"/>
      <c r="E33" s="7">
        <v>0</v>
      </c>
      <c r="F33" s="14">
        <v>46303</v>
      </c>
      <c r="G33" s="33">
        <v>46310</v>
      </c>
      <c r="H33" s="37"/>
      <c r="I33" s="3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40"/>
      <c r="DD33" s="40"/>
      <c r="DE33" s="40"/>
      <c r="DF33" s="40"/>
      <c r="DG33" s="40"/>
      <c r="DH33" s="40"/>
      <c r="DI33" s="47"/>
    </row>
    <row r="34" spans="2:113" x14ac:dyDescent="0.3">
      <c r="B34" s="35" t="s">
        <v>22</v>
      </c>
      <c r="C34" s="9"/>
      <c r="D34" s="9"/>
      <c r="E34" s="7">
        <v>0</v>
      </c>
      <c r="F34" s="14">
        <v>46310</v>
      </c>
      <c r="G34" s="33">
        <v>46317</v>
      </c>
      <c r="H34" s="37"/>
      <c r="I34" s="3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7"/>
    </row>
    <row r="35" spans="2:113" x14ac:dyDescent="0.3">
      <c r="B35" s="35" t="s">
        <v>23</v>
      </c>
      <c r="C35" s="9"/>
      <c r="D35" s="9"/>
      <c r="E35" s="7">
        <v>0</v>
      </c>
      <c r="F35" s="14">
        <v>46310</v>
      </c>
      <c r="G35" s="33">
        <v>46317</v>
      </c>
      <c r="H35" s="37"/>
      <c r="I35" s="3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7"/>
    </row>
    <row r="36" spans="2:113" x14ac:dyDescent="0.3">
      <c r="B36" s="35" t="s">
        <v>24</v>
      </c>
      <c r="C36" s="9"/>
      <c r="D36" s="9"/>
      <c r="E36" s="7">
        <v>0</v>
      </c>
      <c r="F36" s="14">
        <v>46317</v>
      </c>
      <c r="G36" s="33">
        <v>46321</v>
      </c>
      <c r="H36" s="37"/>
      <c r="I36" s="3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7"/>
    </row>
    <row r="37" spans="2:113" x14ac:dyDescent="0.3">
      <c r="B37" s="35" t="s">
        <v>25</v>
      </c>
      <c r="C37" s="9"/>
      <c r="D37" s="9"/>
      <c r="E37" s="7">
        <v>0</v>
      </c>
      <c r="F37" s="14">
        <v>46321</v>
      </c>
      <c r="G37" s="33">
        <v>46324</v>
      </c>
      <c r="H37" s="37"/>
      <c r="I37" s="3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7"/>
    </row>
    <row r="38" spans="2:113" x14ac:dyDescent="0.3">
      <c r="B38" s="39" t="s">
        <v>26</v>
      </c>
      <c r="C38" s="10"/>
      <c r="D38" s="10">
        <f>SUM(D39:D41)</f>
        <v>0</v>
      </c>
      <c r="E38" s="11">
        <f>SUM(E39:E40)/2</f>
        <v>0</v>
      </c>
      <c r="F38" s="12">
        <f>G31</f>
        <v>46324</v>
      </c>
      <c r="G38" s="30">
        <v>46342</v>
      </c>
      <c r="H38" s="37"/>
      <c r="I38" s="3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7"/>
    </row>
    <row r="39" spans="2:113" x14ac:dyDescent="0.3">
      <c r="B39" s="35" t="s">
        <v>28</v>
      </c>
      <c r="C39" s="9"/>
      <c r="D39" s="9"/>
      <c r="E39" s="7">
        <v>0</v>
      </c>
      <c r="F39" s="14">
        <v>46324</v>
      </c>
      <c r="G39" s="33">
        <v>46338</v>
      </c>
      <c r="H39" s="37"/>
      <c r="I39" s="3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7"/>
    </row>
    <row r="40" spans="2:113" x14ac:dyDescent="0.3">
      <c r="B40" s="35" t="s">
        <v>27</v>
      </c>
      <c r="C40" s="9"/>
      <c r="D40" s="9"/>
      <c r="E40" s="7">
        <v>0</v>
      </c>
      <c r="F40" s="14">
        <v>46338</v>
      </c>
      <c r="G40" s="33">
        <v>46342</v>
      </c>
      <c r="H40" s="37"/>
      <c r="I40" s="3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7"/>
    </row>
    <row r="41" spans="2:113" x14ac:dyDescent="0.3">
      <c r="B41" s="36"/>
      <c r="C41" s="24"/>
      <c r="D41" s="24"/>
      <c r="E41" s="25"/>
      <c r="F41" s="24"/>
      <c r="G41" s="26"/>
      <c r="H41" s="37"/>
      <c r="I41" s="36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9"/>
    </row>
    <row r="42" spans="2:113" x14ac:dyDescent="0.3">
      <c r="C42" s="60" t="s">
        <v>43</v>
      </c>
      <c r="D42" s="60">
        <f>D8+D17+D25+D31+D38</f>
        <v>0</v>
      </c>
    </row>
    <row r="44" spans="2:113" x14ac:dyDescent="0.3">
      <c r="B44" s="35" t="s">
        <v>37</v>
      </c>
    </row>
  </sheetData>
  <mergeCells count="18">
    <mergeCell ref="CH5:CN5"/>
    <mergeCell ref="CO5:CU5"/>
    <mergeCell ref="CV5:DB5"/>
    <mergeCell ref="DC5:DI5"/>
    <mergeCell ref="CA5:CG5"/>
    <mergeCell ref="B3:G3"/>
    <mergeCell ref="AK5:AQ5"/>
    <mergeCell ref="AR5:AX5"/>
    <mergeCell ref="AY5:BE5"/>
    <mergeCell ref="BF5:BL5"/>
    <mergeCell ref="BM5:BS5"/>
    <mergeCell ref="BT5:BZ5"/>
    <mergeCell ref="AD5:AJ5"/>
    <mergeCell ref="F6:G6"/>
    <mergeCell ref="C6:E6"/>
    <mergeCell ref="I5:O5"/>
    <mergeCell ref="P5:V5"/>
    <mergeCell ref="W5:AC5"/>
  </mergeCells>
  <conditionalFormatting sqref="E41">
    <cfRule type="dataBar" priority="1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{4693AAE6-A968-4577-8259-B5517147BD0B}</x14:id>
        </ext>
      </extLst>
    </cfRule>
  </conditionalFormatting>
  <conditionalFormatting sqref="I18:L18 I8:DI17 I19:DI41 N18:DI18">
    <cfRule type="expression" dxfId="4" priority="10">
      <formula>AND(I$6&gt;=$F8, I$6&lt;=((($G8-$F8+1)*$E8)+$F8-1))</formula>
    </cfRule>
    <cfRule type="expression" dxfId="3" priority="11">
      <formula>AND(I$6&gt;=$F8, I$6&lt;=$G8)</formula>
    </cfRule>
  </conditionalFormatting>
  <conditionalFormatting sqref="I4">
    <cfRule type="expression" dxfId="2" priority="17">
      <formula>AND(M$6&gt;=$F18, M$6&lt;=((($G18-$F18+1)*$E18)+$F18-1))</formula>
    </cfRule>
    <cfRule type="expression" dxfId="1" priority="18">
      <formula>AND(M$6&gt;=$F18, M$6&lt;=$G18)</formula>
    </cfRule>
  </conditionalFormatting>
  <conditionalFormatting sqref="I8:DI41">
    <cfRule type="expression" dxfId="0" priority="9">
      <formula>I$6=TODAY()</formula>
    </cfRule>
  </conditionalFormatting>
  <conditionalFormatting sqref="E8:E12 E32:E37 E25:E30">
    <cfRule type="dataBar" priority="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{195AB4B8-1354-4D48-B390-689803F9EA97}</x14:id>
        </ext>
      </extLst>
    </cfRule>
  </conditionalFormatting>
  <conditionalFormatting sqref="E17:E21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{476872CB-41B9-45B5-98C7-56FAECEB8CFF}</x14:id>
        </ext>
      </extLst>
    </cfRule>
  </conditionalFormatting>
  <conditionalFormatting sqref="E13:E15">
    <cfRule type="dataBar" priority="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{CDCBC34F-837A-4DB0-96DB-58080B940EB3}</x14:id>
        </ext>
      </extLst>
    </cfRule>
  </conditionalFormatting>
  <conditionalFormatting sqref="E1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{744AE6C3-5BD7-44DF-928F-636D2F260202}</x14:id>
        </ext>
      </extLst>
    </cfRule>
  </conditionalFormatting>
  <conditionalFormatting sqref="E22:E24">
    <cfRule type="dataBar" priority="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{AA7D227D-CF25-45FD-8854-193CB649A9D8}</x14:id>
        </ext>
      </extLst>
    </cfRule>
  </conditionalFormatting>
  <conditionalFormatting sqref="E31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{B202A320-8915-4706-9427-48C037FB0208}</x14:id>
        </ext>
      </extLst>
    </cfRule>
  </conditionalFormatting>
  <conditionalFormatting sqref="E3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{53D00B96-155C-45D2-9A8A-0FE3A2E085FF}</x14:id>
        </ext>
      </extLst>
    </cfRule>
  </conditionalFormatting>
  <conditionalFormatting sqref="E39:E40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{DE5E10DB-F79B-4162-A1C1-C82B6C247812}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2</xdr:col>
                    <xdr:colOff>0</xdr:colOff>
                    <xdr:row>4</xdr:row>
                    <xdr:rowOff>15240</xdr:rowOff>
                  </from>
                  <to>
                    <xdr:col>8</xdr:col>
                    <xdr:colOff>297180</xdr:colOff>
                    <xdr:row>4</xdr:row>
                    <xdr:rowOff>220980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93AAE6-A968-4577-8259-B5517147BD0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E41</xm:sqref>
        </x14:conditionalFormatting>
        <x14:conditionalFormatting xmlns:xm="http://schemas.microsoft.com/office/excel/2006/main">
          <x14:cfRule type="dataBar" id="{195AB4B8-1354-4D48-B390-689803F9EA9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E8:E12 E32:E37 E25:E30</xm:sqref>
        </x14:conditionalFormatting>
        <x14:conditionalFormatting xmlns:xm="http://schemas.microsoft.com/office/excel/2006/main">
          <x14:cfRule type="dataBar" id="{476872CB-41B9-45B5-98C7-56FAECEB8CF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E17:E21</xm:sqref>
        </x14:conditionalFormatting>
        <x14:conditionalFormatting xmlns:xm="http://schemas.microsoft.com/office/excel/2006/main">
          <x14:cfRule type="dataBar" id="{CDCBC34F-837A-4DB0-96DB-58080B940EB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E13:E15</xm:sqref>
        </x14:conditionalFormatting>
        <x14:conditionalFormatting xmlns:xm="http://schemas.microsoft.com/office/excel/2006/main">
          <x14:cfRule type="dataBar" id="{744AE6C3-5BD7-44DF-928F-636D2F26020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AA7D227D-CF25-45FD-8854-193CB649A9D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E22:E24</xm:sqref>
        </x14:conditionalFormatting>
        <x14:conditionalFormatting xmlns:xm="http://schemas.microsoft.com/office/excel/2006/main">
          <x14:cfRule type="dataBar" id="{B202A320-8915-4706-9427-48C037FB020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E31</xm:sqref>
        </x14:conditionalFormatting>
        <x14:conditionalFormatting xmlns:xm="http://schemas.microsoft.com/office/excel/2006/main">
          <x14:cfRule type="dataBar" id="{53D00B96-155C-45D2-9A8A-0FE3A2E085F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E38</xm:sqref>
        </x14:conditionalFormatting>
        <x14:conditionalFormatting xmlns:xm="http://schemas.microsoft.com/office/excel/2006/main">
          <x14:cfRule type="dataBar" id="{DE5E10DB-F79B-4162-A1C1-C82B6C24781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E39:E40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venieri</dc:creator>
  <cp:lastModifiedBy>gabriel venieri</cp:lastModifiedBy>
  <dcterms:created xsi:type="dcterms:W3CDTF">2026-04-12T01:05:52Z</dcterms:created>
  <dcterms:modified xsi:type="dcterms:W3CDTF">2026-08-27T22:24:00Z</dcterms:modified>
</cp:coreProperties>
</file>