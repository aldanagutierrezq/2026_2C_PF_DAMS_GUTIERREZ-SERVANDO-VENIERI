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Facultad\2026\Segundo Cuatrimestre\Proyecto Mecatronico\"/>
    </mc:Choice>
  </mc:AlternateContent>
  <bookViews>
    <workbookView xWindow="0" yWindow="0" windowWidth="23040" windowHeight="798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8" i="1" l="1"/>
  <c r="E31" i="1"/>
  <c r="E25" i="1"/>
  <c r="E17" i="1"/>
  <c r="E8" i="1"/>
  <c r="E42" i="1" l="1"/>
  <c r="G38" i="1"/>
  <c r="G31" i="1"/>
  <c r="G25" i="1"/>
  <c r="G17" i="1"/>
  <c r="F38" i="1" l="1"/>
  <c r="F31" i="1"/>
  <c r="F25" i="1"/>
  <c r="F17" i="1"/>
  <c r="F8" i="1"/>
  <c r="H5" i="1" l="1"/>
  <c r="J6" i="1" s="1"/>
  <c r="J5" i="1" l="1"/>
  <c r="J7" i="1"/>
  <c r="K6" i="1"/>
  <c r="K7" i="1" l="1"/>
  <c r="L6" i="1"/>
  <c r="L7" i="1" l="1"/>
  <c r="M6" i="1"/>
  <c r="M7" i="1" l="1"/>
  <c r="N6" i="1"/>
  <c r="O6" i="1" l="1"/>
  <c r="N7" i="1"/>
  <c r="O7" i="1" l="1"/>
  <c r="P6" i="1"/>
  <c r="P7" i="1" l="1"/>
  <c r="Q6" i="1"/>
  <c r="Q5" i="1" l="1"/>
  <c r="Q7" i="1"/>
  <c r="R6" i="1"/>
  <c r="R7" i="1" l="1"/>
  <c r="S6" i="1"/>
  <c r="S7" i="1" l="1"/>
  <c r="T6" i="1"/>
  <c r="U6" i="1" l="1"/>
  <c r="T7" i="1"/>
  <c r="U7" i="1" l="1"/>
  <c r="V6" i="1"/>
  <c r="V7" i="1" l="1"/>
  <c r="W6" i="1"/>
  <c r="X6" i="1" l="1"/>
  <c r="W7" i="1"/>
  <c r="X7" i="1" l="1"/>
  <c r="X5" i="1"/>
  <c r="Y6" i="1"/>
  <c r="Y7" i="1" l="1"/>
  <c r="Z6" i="1"/>
  <c r="AA6" i="1" l="1"/>
  <c r="Z7" i="1"/>
  <c r="AB6" i="1" l="1"/>
  <c r="AA7" i="1"/>
  <c r="AB7" i="1" l="1"/>
  <c r="AC6" i="1"/>
  <c r="AC7" i="1" l="1"/>
  <c r="AD6" i="1"/>
  <c r="AD7" i="1" l="1"/>
  <c r="AE6" i="1"/>
  <c r="AE7" i="1" l="1"/>
  <c r="AE5" i="1"/>
  <c r="AF6" i="1"/>
  <c r="AG6" i="1" l="1"/>
  <c r="AF7" i="1"/>
  <c r="AH6" i="1" l="1"/>
  <c r="AG7" i="1"/>
  <c r="AI6" i="1" l="1"/>
  <c r="AH7" i="1"/>
  <c r="AJ6" i="1" l="1"/>
  <c r="AI7" i="1"/>
  <c r="AK6" i="1" l="1"/>
  <c r="AJ7" i="1"/>
  <c r="AK7" i="1" l="1"/>
  <c r="AL6" i="1"/>
  <c r="AL5" i="1" l="1"/>
  <c r="AL7" i="1"/>
  <c r="AM6" i="1"/>
  <c r="AM7" i="1" l="1"/>
  <c r="AN6" i="1"/>
  <c r="AO6" i="1" l="1"/>
  <c r="AN7" i="1"/>
  <c r="AO7" i="1" l="1"/>
  <c r="AP6" i="1"/>
  <c r="AP7" i="1" l="1"/>
  <c r="AQ6" i="1"/>
  <c r="AQ7" i="1" l="1"/>
  <c r="AR6" i="1"/>
  <c r="AS6" i="1" l="1"/>
  <c r="AR7" i="1"/>
  <c r="AT6" i="1" l="1"/>
  <c r="AS7" i="1"/>
  <c r="AS5" i="1"/>
  <c r="AT7" i="1" l="1"/>
  <c r="AU6" i="1"/>
  <c r="AU7" i="1" l="1"/>
  <c r="AV6" i="1"/>
  <c r="AW6" i="1" l="1"/>
  <c r="AV7" i="1"/>
  <c r="AX6" i="1" l="1"/>
  <c r="AW7" i="1"/>
  <c r="AX7" i="1" l="1"/>
  <c r="AY6" i="1"/>
  <c r="AZ6" i="1" l="1"/>
  <c r="AY7" i="1"/>
  <c r="BA6" i="1" l="1"/>
  <c r="AZ5" i="1"/>
  <c r="AZ7" i="1"/>
  <c r="BA7" i="1" l="1"/>
  <c r="BB6" i="1"/>
  <c r="BC6" i="1" l="1"/>
  <c r="BB7" i="1"/>
  <c r="BC7" i="1" l="1"/>
  <c r="BD6" i="1"/>
  <c r="BE6" i="1" l="1"/>
  <c r="BD7" i="1"/>
  <c r="BE7" i="1" l="1"/>
  <c r="BF6" i="1"/>
  <c r="BF7" i="1" l="1"/>
  <c r="BG6" i="1"/>
  <c r="BH6" i="1" l="1"/>
  <c r="BG7" i="1"/>
  <c r="BG5" i="1"/>
  <c r="BH7" i="1" l="1"/>
  <c r="BI6" i="1"/>
  <c r="BI7" i="1" l="1"/>
  <c r="BJ6" i="1"/>
  <c r="BK6" i="1" l="1"/>
  <c r="BJ7" i="1"/>
  <c r="BL6" i="1" l="1"/>
  <c r="BK7" i="1"/>
  <c r="BM6" i="1" l="1"/>
  <c r="BL7" i="1"/>
  <c r="BN6" i="1" l="1"/>
  <c r="BM7" i="1"/>
  <c r="BO6" i="1" l="1"/>
  <c r="BN5" i="1"/>
  <c r="BN7" i="1"/>
  <c r="BO7" i="1" l="1"/>
  <c r="BP6" i="1"/>
  <c r="BQ6" i="1" l="1"/>
  <c r="BP7" i="1"/>
  <c r="BR6" i="1" l="1"/>
  <c r="BQ7" i="1"/>
  <c r="BR7" i="1" l="1"/>
  <c r="BS6" i="1"/>
  <c r="BS7" i="1" l="1"/>
  <c r="BT6" i="1"/>
  <c r="BU6" i="1" l="1"/>
  <c r="BT7" i="1"/>
  <c r="BV6" i="1" l="1"/>
  <c r="BU5" i="1"/>
  <c r="BU7" i="1"/>
  <c r="BW6" i="1" l="1"/>
  <c r="BV7" i="1"/>
  <c r="BW7" i="1" l="1"/>
  <c r="BX6" i="1"/>
  <c r="BX7" i="1" l="1"/>
  <c r="BY6" i="1"/>
  <c r="BY7" i="1" l="1"/>
  <c r="BZ6" i="1"/>
  <c r="BZ7" i="1" l="1"/>
  <c r="CA6" i="1"/>
  <c r="CA7" i="1" l="1"/>
  <c r="CB6" i="1"/>
  <c r="CB5" i="1" l="1"/>
  <c r="CC6" i="1"/>
  <c r="CB7" i="1"/>
  <c r="CC7" i="1" l="1"/>
  <c r="CD6" i="1"/>
  <c r="CE6" i="1" l="1"/>
  <c r="CD7" i="1"/>
  <c r="CF6" i="1" l="1"/>
  <c r="CE7" i="1"/>
  <c r="CF7" i="1" l="1"/>
  <c r="CG6" i="1"/>
  <c r="CH6" i="1" l="1"/>
  <c r="CI6" i="1" s="1"/>
  <c r="CG7" i="1"/>
  <c r="CJ6" i="1" l="1"/>
  <c r="CI7" i="1"/>
  <c r="CI5" i="1"/>
  <c r="CH7" i="1"/>
  <c r="CK6" i="1" l="1"/>
  <c r="CJ7" i="1"/>
  <c r="CL6" i="1" l="1"/>
  <c r="CK7" i="1"/>
  <c r="CM6" i="1" l="1"/>
  <c r="CL7" i="1"/>
  <c r="CN6" i="1" l="1"/>
  <c r="CM7" i="1"/>
  <c r="CO6" i="1" l="1"/>
  <c r="CN7" i="1"/>
  <c r="CP6" i="1" l="1"/>
  <c r="CO7" i="1"/>
  <c r="CQ6" i="1" l="1"/>
  <c r="CP5" i="1"/>
  <c r="CP7" i="1"/>
  <c r="CR6" i="1" l="1"/>
  <c r="CQ7" i="1"/>
  <c r="CS6" i="1" l="1"/>
  <c r="CR7" i="1"/>
  <c r="CT6" i="1" l="1"/>
  <c r="CS7" i="1"/>
  <c r="CU6" i="1" l="1"/>
  <c r="CT7" i="1"/>
  <c r="CV6" i="1" l="1"/>
  <c r="CU7" i="1"/>
  <c r="CW6" i="1" l="1"/>
  <c r="CV7" i="1"/>
  <c r="CW7" i="1" l="1"/>
  <c r="CX6" i="1"/>
  <c r="CW5" i="1"/>
  <c r="CY6" i="1" l="1"/>
  <c r="CX7" i="1"/>
  <c r="CZ6" i="1" l="1"/>
  <c r="CY7" i="1"/>
  <c r="DA6" i="1" l="1"/>
  <c r="CZ7" i="1"/>
  <c r="DB6" i="1" l="1"/>
  <c r="DA7" i="1"/>
  <c r="DC6" i="1" l="1"/>
  <c r="DB7" i="1"/>
  <c r="DD6" i="1" l="1"/>
  <c r="DC7" i="1"/>
  <c r="DD7" i="1" l="1"/>
  <c r="DE6" i="1"/>
  <c r="DD5" i="1"/>
  <c r="DF6" i="1" l="1"/>
  <c r="DE7" i="1"/>
  <c r="DG6" i="1" l="1"/>
  <c r="DF7" i="1"/>
  <c r="DH6" i="1" l="1"/>
  <c r="DG7" i="1"/>
  <c r="DI6" i="1" l="1"/>
  <c r="DH7" i="1"/>
  <c r="DJ6" i="1" l="1"/>
  <c r="DJ7" i="1" s="1"/>
  <c r="DI7" i="1"/>
</calcChain>
</file>

<file path=xl/sharedStrings.xml><?xml version="1.0" encoding="utf-8"?>
<sst xmlns="http://schemas.openxmlformats.org/spreadsheetml/2006/main" count="75" uniqueCount="51">
  <si>
    <t>TAREA</t>
  </si>
  <si>
    <t>RESPONSABLE</t>
  </si>
  <si>
    <t>PROGRESO</t>
  </si>
  <si>
    <t>INICIO</t>
  </si>
  <si>
    <t>FIN</t>
  </si>
  <si>
    <t>INICIO DEL PROYECTO</t>
  </si>
  <si>
    <t>FASE 1 - ALCANCE, ANÁLISIS Y PROPUESTA</t>
  </si>
  <si>
    <t>1.1. Definir proyecto</t>
  </si>
  <si>
    <t>1.2 Funciones y capacidades</t>
  </si>
  <si>
    <t>1.3 Propuesta inicial y final</t>
  </si>
  <si>
    <t>1.4 Análisis de viabilidad técnica y riesgos</t>
  </si>
  <si>
    <t>1.5 Requerimientos no funcionales</t>
  </si>
  <si>
    <t>1.6 Selección preliminar de tecnologías</t>
  </si>
  <si>
    <t>1.7 Estructura del proyecto y roles</t>
  </si>
  <si>
    <t>1.8 Planificacion del cronograma</t>
  </si>
  <si>
    <t>FASE 2 - DISEÑO CONCEPTUAL</t>
  </si>
  <si>
    <t>FASE 3 - MODELADO CAD Y SIMULACION</t>
  </si>
  <si>
    <t>3.3 Simulacion estructural (FEA)</t>
  </si>
  <si>
    <t>3.4 Simulacion de movimiento</t>
  </si>
  <si>
    <t>3.5 Ajustes finales del CAD</t>
  </si>
  <si>
    <t>4.2 Compra y preparacion de componentes</t>
  </si>
  <si>
    <t>4.3 Pruebas de encastre y tolerancia</t>
  </si>
  <si>
    <t>4.4 Ensamble mecánico del robot</t>
  </si>
  <si>
    <t>4.6 Ajustes</t>
  </si>
  <si>
    <t>5.2 Calibracion y prueba final</t>
  </si>
  <si>
    <t>5.1 Integracion final del software</t>
  </si>
  <si>
    <t>3.1 Modelado CAD (Chasis y Estructura)</t>
  </si>
  <si>
    <t>3.2 Ensamble general en CAD</t>
  </si>
  <si>
    <t>Grupo</t>
  </si>
  <si>
    <t>2.1 Bocetos y diagramas conceptuales</t>
  </si>
  <si>
    <t>2.2 Validacion conceptual</t>
  </si>
  <si>
    <t>2.3 Diseño del mecanismo locomocion</t>
  </si>
  <si>
    <t>2.4 Diseño del sistema de navegación GPS</t>
  </si>
  <si>
    <t>2.5 Diseño del sistema de reparto/carga</t>
  </si>
  <si>
    <t>2.6 Arquitectura preliminar</t>
  </si>
  <si>
    <t>2.7 Diseño del flujo de autonomía</t>
  </si>
  <si>
    <t>2.1 Arquitectura preliminar</t>
  </si>
  <si>
    <t>FASE 4 - CONSTRUCCION Y ENSAMBLAJE</t>
  </si>
  <si>
    <t>4.1 Fabricación y compra de piezas</t>
  </si>
  <si>
    <t xml:space="preserve">HORAS </t>
  </si>
  <si>
    <t>Horas Totales</t>
  </si>
  <si>
    <t>Gutierrez/Venieri</t>
  </si>
  <si>
    <t>Venieri</t>
  </si>
  <si>
    <t>Servando</t>
  </si>
  <si>
    <t>Venieri/Gutierrez</t>
  </si>
  <si>
    <t>FASE 5 - INTEGRACION DE SOFTWARE Y PRUEBAS</t>
  </si>
  <si>
    <t>PREDECESORA</t>
  </si>
  <si>
    <t>2.1</t>
  </si>
  <si>
    <t>4.5 electrónica y programacion</t>
  </si>
  <si>
    <t>Venieri/Servando</t>
  </si>
  <si>
    <t>2.1/3.1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</si>
</sst>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;@"/>
    <numFmt numFmtId="165" formatCode="dd"/>
    <numFmt numFmtId="166" formatCode="ddd\,\ dd/mm/yyyy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auto="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theme="2" tint="-0.24994659260841701"/>
      </top>
      <bottom style="thin">
        <color theme="2" tint="-0.24994659260841701"/>
      </bottom>
      <diagonal/>
    </border>
    <border>
      <left/>
      <right/>
      <top style="thin">
        <color auto="1"/>
      </top>
      <bottom style="thin">
        <color theme="2" tint="-9.9948118533890809E-2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2" tint="-0.24994659260841701"/>
      </bottom>
      <diagonal/>
    </border>
    <border>
      <left/>
      <right style="thin">
        <color auto="1"/>
      </right>
      <top style="thin">
        <color auto="1"/>
      </top>
      <bottom style="thin">
        <color theme="2" tint="-0.24994659260841701"/>
      </bottom>
      <diagonal/>
    </border>
    <border>
      <left/>
      <right style="thin">
        <color auto="1"/>
      </right>
      <top style="thin">
        <color theme="2" tint="-0.24994659260841701"/>
      </top>
      <bottom style="thin">
        <color theme="2" tint="-0.24994659260841701"/>
      </bottom>
      <diagonal/>
    </border>
    <border>
      <left/>
      <right/>
      <top style="thin">
        <color theme="2" tint="-0.24994659260841701"/>
      </top>
      <bottom style="thin">
        <color auto="1"/>
      </bottom>
      <diagonal/>
    </border>
    <border>
      <left/>
      <right style="thin">
        <color auto="1"/>
      </right>
      <top style="thin">
        <color theme="2" tint="-0.24994659260841701"/>
      </top>
      <bottom style="thin">
        <color auto="1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3" fillId="3" borderId="4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5" fontId="3" fillId="3" borderId="5" xfId="0" applyNumberFormat="1" applyFont="1" applyFill="1" applyBorder="1" applyAlignment="1">
      <alignment horizontal="center" vertical="center"/>
    </xf>
    <xf numFmtId="0" fontId="0" fillId="0" borderId="6" xfId="0" applyBorder="1"/>
    <xf numFmtId="9" fontId="0" fillId="0" borderId="6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9" fontId="0" fillId="7" borderId="6" xfId="0" applyNumberFormat="1" applyFill="1" applyBorder="1" applyAlignment="1">
      <alignment horizontal="center" vertical="center"/>
    </xf>
    <xf numFmtId="164" fontId="0" fillId="7" borderId="6" xfId="0" applyNumberForma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 vertical="center"/>
    </xf>
    <xf numFmtId="164" fontId="0" fillId="8" borderId="6" xfId="0" applyNumberFormat="1" applyFill="1" applyBorder="1" applyAlignment="1">
      <alignment horizontal="center" vertical="center"/>
    </xf>
    <xf numFmtId="165" fontId="3" fillId="6" borderId="0" xfId="0" applyNumberFormat="1" applyFont="1" applyFill="1" applyBorder="1" applyAlignment="1">
      <alignment horizontal="center" vertical="center"/>
    </xf>
    <xf numFmtId="165" fontId="3" fillId="6" borderId="5" xfId="0" applyNumberFormat="1" applyFont="1" applyFill="1" applyBorder="1" applyAlignment="1">
      <alignment horizontal="center" vertical="center"/>
    </xf>
    <xf numFmtId="165" fontId="3" fillId="6" borderId="4" xfId="0" applyNumberFormat="1" applyFont="1" applyFill="1" applyBorder="1" applyAlignment="1">
      <alignment horizontal="center" vertical="center"/>
    </xf>
    <xf numFmtId="165" fontId="3" fillId="5" borderId="4" xfId="0" applyNumberFormat="1" applyFont="1" applyFill="1" applyBorder="1" applyAlignment="1">
      <alignment horizontal="center" vertical="center"/>
    </xf>
    <xf numFmtId="165" fontId="3" fillId="5" borderId="0" xfId="0" applyNumberFormat="1" applyFont="1" applyFill="1" applyBorder="1" applyAlignment="1">
      <alignment horizontal="center" vertical="center"/>
    </xf>
    <xf numFmtId="165" fontId="3" fillId="5" borderId="5" xfId="0" applyNumberFormat="1" applyFont="1" applyFill="1" applyBorder="1" applyAlignment="1">
      <alignment horizontal="center" vertical="center"/>
    </xf>
    <xf numFmtId="0" fontId="0" fillId="0" borderId="7" xfId="0" applyBorder="1"/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2" xfId="0" applyBorder="1" applyAlignment="1">
      <alignment horizontal="center" vertical="center"/>
    </xf>
    <xf numFmtId="0" fontId="0" fillId="0" borderId="11" xfId="0" applyBorder="1"/>
    <xf numFmtId="0" fontId="0" fillId="0" borderId="0" xfId="0" applyBorder="1" applyAlignment="1">
      <alignment horizontal="center"/>
    </xf>
    <xf numFmtId="14" fontId="0" fillId="0" borderId="5" xfId="0" applyNumberFormat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64" fontId="0" fillId="7" borderId="10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1" fillId="2" borderId="13" xfId="0" applyFont="1" applyFill="1" applyBorder="1" applyAlignment="1">
      <alignment horizontal="center" vertical="center"/>
    </xf>
    <xf numFmtId="0" fontId="2" fillId="7" borderId="14" xfId="0" applyFont="1" applyFill="1" applyBorder="1"/>
    <xf numFmtId="0" fontId="0" fillId="0" borderId="21" xfId="0" applyBorder="1"/>
    <xf numFmtId="0" fontId="0" fillId="0" borderId="22" xfId="0" applyBorder="1"/>
    <xf numFmtId="0" fontId="1" fillId="2" borderId="20" xfId="0" applyFont="1" applyFill="1" applyBorder="1" applyAlignment="1">
      <alignment horizontal="center" vertical="center"/>
    </xf>
    <xf numFmtId="165" fontId="3" fillId="5" borderId="23" xfId="0" applyNumberFormat="1" applyFont="1" applyFill="1" applyBorder="1" applyAlignment="1">
      <alignment horizontal="center" vertical="center"/>
    </xf>
    <xf numFmtId="165" fontId="3" fillId="5" borderId="17" xfId="0" applyNumberFormat="1" applyFont="1" applyFill="1" applyBorder="1" applyAlignment="1">
      <alignment horizontal="center" vertical="center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165" fontId="3" fillId="5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66" fontId="4" fillId="2" borderId="1" xfId="0" applyNumberFormat="1" applyFont="1" applyFill="1" applyBorder="1" applyAlignment="1">
      <alignment horizontal="center" vertical="center"/>
    </xf>
    <xf numFmtId="166" fontId="4" fillId="2" borderId="2" xfId="0" applyNumberFormat="1" applyFont="1" applyFill="1" applyBorder="1" applyAlignment="1">
      <alignment horizontal="center" vertical="center"/>
    </xf>
    <xf numFmtId="166" fontId="4" fillId="2" borderId="3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left"/>
    </xf>
    <xf numFmtId="14" fontId="2" fillId="3" borderId="2" xfId="0" applyNumberFormat="1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ill>
        <patternFill patternType="none">
          <bgColor auto="1"/>
        </patternFill>
      </fill>
      <border>
        <left style="thin">
          <color rgb="FFFF0000"/>
        </left>
        <right style="thin">
          <color rgb="FFFF0000"/>
        </right>
        <vertical/>
        <horizontal/>
      </border>
    </dxf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Scroll" dx="22" fmlaLink="$G$5" horiz="1" max="98" page="10" val="25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</xdr:row>
          <xdr:rowOff>209550</xdr:rowOff>
        </xdr:from>
        <xdr:to>
          <xdr:col>8</xdr:col>
          <xdr:colOff>0</xdr:colOff>
          <xdr:row>5</xdr:row>
          <xdr:rowOff>0</xdr:rowOff>
        </xdr:to>
        <xdr:sp macro="" textlink="">
          <xdr:nvSpPr>
            <xdr:cNvPr id="1025" name="Scroll Bar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85726</xdr:colOff>
      <xdr:row>0</xdr:row>
      <xdr:rowOff>0</xdr:rowOff>
    </xdr:from>
    <xdr:to>
      <xdr:col>1</xdr:col>
      <xdr:colOff>1362075</xdr:colOff>
      <xdr:row>5</xdr:row>
      <xdr:rowOff>167058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6" y="0"/>
          <a:ext cx="1371599" cy="11576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3:DJ44"/>
  <sheetViews>
    <sheetView showGridLines="0" tabSelected="1" zoomScaleNormal="100" workbookViewId="0">
      <pane ySplit="7" topLeftCell="A8" activePane="bottomLeft" state="frozen"/>
      <selection pane="bottomLeft" activeCell="F19" sqref="F19"/>
    </sheetView>
  </sheetViews>
  <sheetFormatPr baseColWidth="10" defaultRowHeight="15" x14ac:dyDescent="0.25"/>
  <cols>
    <col min="1" max="1" width="1.42578125" customWidth="1"/>
    <col min="2" max="2" width="42.28515625" customWidth="1"/>
    <col min="3" max="3" width="16" style="1" customWidth="1"/>
    <col min="4" max="4" width="15.7109375" customWidth="1"/>
    <col min="5" max="5" width="10.28515625" customWidth="1"/>
    <col min="6" max="6" width="11.42578125" style="1"/>
    <col min="9" max="9" width="1.140625" customWidth="1"/>
    <col min="10" max="141" width="4.7109375" customWidth="1"/>
  </cols>
  <sheetData>
    <row r="3" spans="2:114" ht="15.75" x14ac:dyDescent="0.25">
      <c r="B3" s="59"/>
      <c r="C3" s="59"/>
      <c r="D3" s="59"/>
      <c r="E3" s="59"/>
      <c r="F3" s="59"/>
      <c r="G3" s="59"/>
      <c r="H3" s="59"/>
    </row>
    <row r="4" spans="2:114" ht="14.25" customHeight="1" x14ac:dyDescent="0.25">
      <c r="J4" s="6"/>
    </row>
    <row r="5" spans="2:114" ht="18" customHeight="1" x14ac:dyDescent="0.25">
      <c r="G5" s="27">
        <v>25</v>
      </c>
      <c r="H5" s="28">
        <f>G6+G5</f>
        <v>46269</v>
      </c>
      <c r="J5" s="56">
        <f>J6</f>
        <v>46269</v>
      </c>
      <c r="K5" s="57"/>
      <c r="L5" s="57"/>
      <c r="M5" s="57"/>
      <c r="N5" s="57"/>
      <c r="O5" s="57"/>
      <c r="P5" s="58"/>
      <c r="Q5" s="56">
        <f>Q6</f>
        <v>46276</v>
      </c>
      <c r="R5" s="57"/>
      <c r="S5" s="57"/>
      <c r="T5" s="57"/>
      <c r="U5" s="57"/>
      <c r="V5" s="57"/>
      <c r="W5" s="58"/>
      <c r="X5" s="56">
        <f>X6</f>
        <v>46283</v>
      </c>
      <c r="Y5" s="57"/>
      <c r="Z5" s="57"/>
      <c r="AA5" s="57"/>
      <c r="AB5" s="57"/>
      <c r="AC5" s="57"/>
      <c r="AD5" s="58"/>
      <c r="AE5" s="56">
        <f>AE6</f>
        <v>46290</v>
      </c>
      <c r="AF5" s="57"/>
      <c r="AG5" s="57"/>
      <c r="AH5" s="57"/>
      <c r="AI5" s="57"/>
      <c r="AJ5" s="57"/>
      <c r="AK5" s="58"/>
      <c r="AL5" s="56">
        <f>AL6</f>
        <v>46297</v>
      </c>
      <c r="AM5" s="57"/>
      <c r="AN5" s="57"/>
      <c r="AO5" s="57"/>
      <c r="AP5" s="57"/>
      <c r="AQ5" s="57"/>
      <c r="AR5" s="58"/>
      <c r="AS5" s="56">
        <f>AS6</f>
        <v>46304</v>
      </c>
      <c r="AT5" s="57"/>
      <c r="AU5" s="57"/>
      <c r="AV5" s="57"/>
      <c r="AW5" s="57"/>
      <c r="AX5" s="57"/>
      <c r="AY5" s="58"/>
      <c r="AZ5" s="56">
        <f>AZ6</f>
        <v>46311</v>
      </c>
      <c r="BA5" s="57"/>
      <c r="BB5" s="57"/>
      <c r="BC5" s="57"/>
      <c r="BD5" s="57"/>
      <c r="BE5" s="57"/>
      <c r="BF5" s="58"/>
      <c r="BG5" s="56">
        <f>BG6</f>
        <v>46318</v>
      </c>
      <c r="BH5" s="57"/>
      <c r="BI5" s="57"/>
      <c r="BJ5" s="57"/>
      <c r="BK5" s="57"/>
      <c r="BL5" s="57"/>
      <c r="BM5" s="58"/>
      <c r="BN5" s="56">
        <f>BN6</f>
        <v>46325</v>
      </c>
      <c r="BO5" s="57"/>
      <c r="BP5" s="57"/>
      <c r="BQ5" s="57"/>
      <c r="BR5" s="57"/>
      <c r="BS5" s="57"/>
      <c r="BT5" s="58"/>
      <c r="BU5" s="56">
        <f>BU6</f>
        <v>46332</v>
      </c>
      <c r="BV5" s="57"/>
      <c r="BW5" s="57"/>
      <c r="BX5" s="57"/>
      <c r="BY5" s="57"/>
      <c r="BZ5" s="57"/>
      <c r="CA5" s="58"/>
      <c r="CB5" s="56">
        <f>CB6</f>
        <v>46339</v>
      </c>
      <c r="CC5" s="57"/>
      <c r="CD5" s="57"/>
      <c r="CE5" s="57"/>
      <c r="CF5" s="57"/>
      <c r="CG5" s="57"/>
      <c r="CH5" s="58"/>
      <c r="CI5" s="56">
        <f>CI6</f>
        <v>46346</v>
      </c>
      <c r="CJ5" s="57"/>
      <c r="CK5" s="57"/>
      <c r="CL5" s="57"/>
      <c r="CM5" s="57"/>
      <c r="CN5" s="57"/>
      <c r="CO5" s="58"/>
      <c r="CP5" s="56">
        <f>CP6</f>
        <v>46353</v>
      </c>
      <c r="CQ5" s="57"/>
      <c r="CR5" s="57"/>
      <c r="CS5" s="57"/>
      <c r="CT5" s="57"/>
      <c r="CU5" s="57"/>
      <c r="CV5" s="58"/>
      <c r="CW5" s="56">
        <f>CW6</f>
        <v>46360</v>
      </c>
      <c r="CX5" s="57"/>
      <c r="CY5" s="57"/>
      <c r="CZ5" s="57"/>
      <c r="DA5" s="57"/>
      <c r="DB5" s="57"/>
      <c r="DC5" s="58"/>
      <c r="DD5" s="56">
        <f>DD6</f>
        <v>46367</v>
      </c>
      <c r="DE5" s="57"/>
      <c r="DF5" s="57"/>
      <c r="DG5" s="57"/>
      <c r="DH5" s="57"/>
      <c r="DI5" s="57"/>
      <c r="DJ5" s="58"/>
    </row>
    <row r="6" spans="2:114" x14ac:dyDescent="0.25">
      <c r="D6" s="62" t="s">
        <v>5</v>
      </c>
      <c r="E6" s="63"/>
      <c r="F6" s="63"/>
      <c r="G6" s="60">
        <v>46244</v>
      </c>
      <c r="H6" s="61"/>
      <c r="J6" s="3">
        <f>H5</f>
        <v>46269</v>
      </c>
      <c r="K6" s="4">
        <f>J6+1</f>
        <v>46270</v>
      </c>
      <c r="L6" s="4">
        <f>K6+1</f>
        <v>46271</v>
      </c>
      <c r="M6" s="4">
        <f t="shared" ref="M6:BX6" si="0">L6+1</f>
        <v>46272</v>
      </c>
      <c r="N6" s="4">
        <f t="shared" si="0"/>
        <v>46273</v>
      </c>
      <c r="O6" s="4">
        <f t="shared" si="0"/>
        <v>46274</v>
      </c>
      <c r="P6" s="5">
        <f t="shared" si="0"/>
        <v>46275</v>
      </c>
      <c r="Q6" s="3">
        <f t="shared" si="0"/>
        <v>46276</v>
      </c>
      <c r="R6" s="4">
        <f t="shared" si="0"/>
        <v>46277</v>
      </c>
      <c r="S6" s="4">
        <f t="shared" si="0"/>
        <v>46278</v>
      </c>
      <c r="T6" s="4">
        <f t="shared" si="0"/>
        <v>46279</v>
      </c>
      <c r="U6" s="4">
        <f t="shared" si="0"/>
        <v>46280</v>
      </c>
      <c r="V6" s="4">
        <f t="shared" si="0"/>
        <v>46281</v>
      </c>
      <c r="W6" s="5">
        <f t="shared" si="0"/>
        <v>46282</v>
      </c>
      <c r="X6" s="3">
        <f t="shared" si="0"/>
        <v>46283</v>
      </c>
      <c r="Y6" s="4">
        <f t="shared" si="0"/>
        <v>46284</v>
      </c>
      <c r="Z6" s="4">
        <f t="shared" si="0"/>
        <v>46285</v>
      </c>
      <c r="AA6" s="4">
        <f t="shared" si="0"/>
        <v>46286</v>
      </c>
      <c r="AB6" s="4">
        <f t="shared" si="0"/>
        <v>46287</v>
      </c>
      <c r="AC6" s="4">
        <f t="shared" si="0"/>
        <v>46288</v>
      </c>
      <c r="AD6" s="5">
        <f t="shared" si="0"/>
        <v>46289</v>
      </c>
      <c r="AE6" s="3">
        <f t="shared" si="0"/>
        <v>46290</v>
      </c>
      <c r="AF6" s="15">
        <f t="shared" si="0"/>
        <v>46291</v>
      </c>
      <c r="AG6" s="15">
        <f t="shared" si="0"/>
        <v>46292</v>
      </c>
      <c r="AH6" s="15">
        <f t="shared" si="0"/>
        <v>46293</v>
      </c>
      <c r="AI6" s="15">
        <f t="shared" si="0"/>
        <v>46294</v>
      </c>
      <c r="AJ6" s="15">
        <f t="shared" si="0"/>
        <v>46295</v>
      </c>
      <c r="AK6" s="16">
        <f t="shared" si="0"/>
        <v>46296</v>
      </c>
      <c r="AL6" s="17">
        <f t="shared" si="0"/>
        <v>46297</v>
      </c>
      <c r="AM6" s="15">
        <f t="shared" si="0"/>
        <v>46298</v>
      </c>
      <c r="AN6" s="15">
        <f t="shared" si="0"/>
        <v>46299</v>
      </c>
      <c r="AO6" s="15">
        <f t="shared" si="0"/>
        <v>46300</v>
      </c>
      <c r="AP6" s="15">
        <f t="shared" si="0"/>
        <v>46301</v>
      </c>
      <c r="AQ6" s="15">
        <f t="shared" si="0"/>
        <v>46302</v>
      </c>
      <c r="AR6" s="16">
        <f t="shared" si="0"/>
        <v>46303</v>
      </c>
      <c r="AS6" s="17">
        <f t="shared" si="0"/>
        <v>46304</v>
      </c>
      <c r="AT6" s="15">
        <f t="shared" si="0"/>
        <v>46305</v>
      </c>
      <c r="AU6" s="15">
        <f t="shared" si="0"/>
        <v>46306</v>
      </c>
      <c r="AV6" s="15">
        <f t="shared" si="0"/>
        <v>46307</v>
      </c>
      <c r="AW6" s="15">
        <f t="shared" si="0"/>
        <v>46308</v>
      </c>
      <c r="AX6" s="15">
        <f t="shared" si="0"/>
        <v>46309</v>
      </c>
      <c r="AY6" s="16">
        <f t="shared" si="0"/>
        <v>46310</v>
      </c>
      <c r="AZ6" s="17">
        <f t="shared" si="0"/>
        <v>46311</v>
      </c>
      <c r="BA6" s="15">
        <f t="shared" si="0"/>
        <v>46312</v>
      </c>
      <c r="BB6" s="15">
        <f t="shared" si="0"/>
        <v>46313</v>
      </c>
      <c r="BC6" s="15">
        <f t="shared" si="0"/>
        <v>46314</v>
      </c>
      <c r="BD6" s="15">
        <f t="shared" si="0"/>
        <v>46315</v>
      </c>
      <c r="BE6" s="15">
        <f t="shared" si="0"/>
        <v>46316</v>
      </c>
      <c r="BF6" s="16">
        <f t="shared" si="0"/>
        <v>46317</v>
      </c>
      <c r="BG6" s="17">
        <f t="shared" si="0"/>
        <v>46318</v>
      </c>
      <c r="BH6" s="15">
        <f t="shared" si="0"/>
        <v>46319</v>
      </c>
      <c r="BI6" s="15">
        <f t="shared" si="0"/>
        <v>46320</v>
      </c>
      <c r="BJ6" s="19">
        <f t="shared" si="0"/>
        <v>46321</v>
      </c>
      <c r="BK6" s="19">
        <f t="shared" si="0"/>
        <v>46322</v>
      </c>
      <c r="BL6" s="19">
        <f t="shared" si="0"/>
        <v>46323</v>
      </c>
      <c r="BM6" s="20">
        <f t="shared" si="0"/>
        <v>46324</v>
      </c>
      <c r="BN6" s="18">
        <f t="shared" si="0"/>
        <v>46325</v>
      </c>
      <c r="BO6" s="19">
        <f t="shared" si="0"/>
        <v>46326</v>
      </c>
      <c r="BP6" s="19">
        <f t="shared" si="0"/>
        <v>46327</v>
      </c>
      <c r="BQ6" s="19">
        <f t="shared" si="0"/>
        <v>46328</v>
      </c>
      <c r="BR6" s="19">
        <f t="shared" si="0"/>
        <v>46329</v>
      </c>
      <c r="BS6" s="19">
        <f t="shared" si="0"/>
        <v>46330</v>
      </c>
      <c r="BT6" s="20">
        <f t="shared" si="0"/>
        <v>46331</v>
      </c>
      <c r="BU6" s="18">
        <f t="shared" si="0"/>
        <v>46332</v>
      </c>
      <c r="BV6" s="19">
        <f t="shared" si="0"/>
        <v>46333</v>
      </c>
      <c r="BW6" s="19">
        <f t="shared" si="0"/>
        <v>46334</v>
      </c>
      <c r="BX6" s="19">
        <f t="shared" si="0"/>
        <v>46335</v>
      </c>
      <c r="BY6" s="19">
        <f t="shared" ref="BY6:CH6" si="1">BX6+1</f>
        <v>46336</v>
      </c>
      <c r="BZ6" s="19">
        <f t="shared" si="1"/>
        <v>46337</v>
      </c>
      <c r="CA6" s="20">
        <f t="shared" si="1"/>
        <v>46338</v>
      </c>
      <c r="CB6" s="43">
        <f>CA6+1</f>
        <v>46339</v>
      </c>
      <c r="CC6" s="44">
        <f t="shared" si="1"/>
        <v>46340</v>
      </c>
      <c r="CD6" s="44">
        <f t="shared" si="1"/>
        <v>46341</v>
      </c>
      <c r="CE6" s="44">
        <f t="shared" si="1"/>
        <v>46342</v>
      </c>
      <c r="CF6" s="44">
        <f t="shared" si="1"/>
        <v>46343</v>
      </c>
      <c r="CG6" s="44">
        <f t="shared" si="1"/>
        <v>46344</v>
      </c>
      <c r="CH6" s="44">
        <f t="shared" si="1"/>
        <v>46345</v>
      </c>
      <c r="CI6" s="44">
        <f t="shared" ref="CI6:DJ6" si="2">CH6+1</f>
        <v>46346</v>
      </c>
      <c r="CJ6" s="44">
        <f t="shared" si="2"/>
        <v>46347</v>
      </c>
      <c r="CK6" s="44">
        <f t="shared" si="2"/>
        <v>46348</v>
      </c>
      <c r="CL6" s="44">
        <f t="shared" si="2"/>
        <v>46349</v>
      </c>
      <c r="CM6" s="44">
        <f t="shared" si="2"/>
        <v>46350</v>
      </c>
      <c r="CN6" s="44">
        <f t="shared" si="2"/>
        <v>46351</v>
      </c>
      <c r="CO6" s="44">
        <f t="shared" si="2"/>
        <v>46352</v>
      </c>
      <c r="CP6" s="44">
        <f t="shared" si="2"/>
        <v>46353</v>
      </c>
      <c r="CQ6" s="44">
        <f t="shared" si="2"/>
        <v>46354</v>
      </c>
      <c r="CR6" s="44">
        <f t="shared" si="2"/>
        <v>46355</v>
      </c>
      <c r="CS6" s="44">
        <f t="shared" si="2"/>
        <v>46356</v>
      </c>
      <c r="CT6" s="44">
        <f t="shared" si="2"/>
        <v>46357</v>
      </c>
      <c r="CU6" s="44">
        <f t="shared" si="2"/>
        <v>46358</v>
      </c>
      <c r="CV6" s="44">
        <f t="shared" si="2"/>
        <v>46359</v>
      </c>
      <c r="CW6" s="44">
        <f t="shared" si="2"/>
        <v>46360</v>
      </c>
      <c r="CX6" s="44">
        <f t="shared" si="2"/>
        <v>46361</v>
      </c>
      <c r="CY6" s="44">
        <f t="shared" si="2"/>
        <v>46362</v>
      </c>
      <c r="CZ6" s="44">
        <f t="shared" si="2"/>
        <v>46363</v>
      </c>
      <c r="DA6" s="44">
        <f t="shared" si="2"/>
        <v>46364</v>
      </c>
      <c r="DB6" s="44">
        <f t="shared" si="2"/>
        <v>46365</v>
      </c>
      <c r="DC6" s="44">
        <f t="shared" si="2"/>
        <v>46366</v>
      </c>
      <c r="DD6" s="44">
        <f t="shared" si="2"/>
        <v>46367</v>
      </c>
      <c r="DE6" s="44">
        <f t="shared" si="2"/>
        <v>46368</v>
      </c>
      <c r="DF6" s="44">
        <f t="shared" si="2"/>
        <v>46369</v>
      </c>
      <c r="DG6" s="44">
        <f t="shared" si="2"/>
        <v>46370</v>
      </c>
      <c r="DH6" s="44">
        <f t="shared" si="2"/>
        <v>46371</v>
      </c>
      <c r="DI6" s="44">
        <f t="shared" si="2"/>
        <v>46372</v>
      </c>
      <c r="DJ6" s="50">
        <f t="shared" si="2"/>
        <v>46373</v>
      </c>
    </row>
    <row r="7" spans="2:114" x14ac:dyDescent="0.25">
      <c r="B7" s="38" t="s">
        <v>0</v>
      </c>
      <c r="C7" s="53" t="s">
        <v>46</v>
      </c>
      <c r="D7" s="2" t="s">
        <v>1</v>
      </c>
      <c r="E7" s="2" t="s">
        <v>39</v>
      </c>
      <c r="F7" s="2" t="s">
        <v>2</v>
      </c>
      <c r="G7" s="2" t="s">
        <v>3</v>
      </c>
      <c r="H7" s="29" t="s">
        <v>4</v>
      </c>
      <c r="I7" s="37"/>
      <c r="J7" s="22" t="str">
        <f>(UPPER(LEFT(TEXT(J6,"DDD"),1)))</f>
        <v>V</v>
      </c>
      <c r="K7" s="22" t="str">
        <f t="shared" ref="K7:BV7" si="3">(UPPER(LEFT(TEXT(K6,"DDD"))))</f>
        <v>S</v>
      </c>
      <c r="L7" s="22" t="str">
        <f t="shared" si="3"/>
        <v>D</v>
      </c>
      <c r="M7" s="22" t="str">
        <f t="shared" si="3"/>
        <v>L</v>
      </c>
      <c r="N7" s="22" t="str">
        <f t="shared" si="3"/>
        <v>M</v>
      </c>
      <c r="O7" s="22" t="str">
        <f t="shared" si="3"/>
        <v>M</v>
      </c>
      <c r="P7" s="22" t="str">
        <f t="shared" si="3"/>
        <v>J</v>
      </c>
      <c r="Q7" s="22" t="str">
        <f t="shared" si="3"/>
        <v>V</v>
      </c>
      <c r="R7" s="22" t="str">
        <f t="shared" si="3"/>
        <v>S</v>
      </c>
      <c r="S7" s="22" t="str">
        <f t="shared" si="3"/>
        <v>D</v>
      </c>
      <c r="T7" s="22" t="str">
        <f t="shared" si="3"/>
        <v>L</v>
      </c>
      <c r="U7" s="22" t="str">
        <f t="shared" si="3"/>
        <v>M</v>
      </c>
      <c r="V7" s="22" t="str">
        <f t="shared" si="3"/>
        <v>M</v>
      </c>
      <c r="W7" s="22" t="str">
        <f t="shared" si="3"/>
        <v>J</v>
      </c>
      <c r="X7" s="22" t="str">
        <f t="shared" si="3"/>
        <v>V</v>
      </c>
      <c r="Y7" s="22" t="str">
        <f t="shared" si="3"/>
        <v>S</v>
      </c>
      <c r="Z7" s="22" t="str">
        <f t="shared" si="3"/>
        <v>D</v>
      </c>
      <c r="AA7" s="22" t="str">
        <f t="shared" si="3"/>
        <v>L</v>
      </c>
      <c r="AB7" s="22" t="str">
        <f t="shared" si="3"/>
        <v>M</v>
      </c>
      <c r="AC7" s="22" t="str">
        <f t="shared" si="3"/>
        <v>M</v>
      </c>
      <c r="AD7" s="23" t="str">
        <f t="shared" si="3"/>
        <v>J</v>
      </c>
      <c r="AE7" s="22" t="str">
        <f t="shared" si="3"/>
        <v>V</v>
      </c>
      <c r="AF7" s="22" t="str">
        <f t="shared" si="3"/>
        <v>S</v>
      </c>
      <c r="AG7" s="22" t="str">
        <f t="shared" si="3"/>
        <v>D</v>
      </c>
      <c r="AH7" s="22" t="str">
        <f t="shared" si="3"/>
        <v>L</v>
      </c>
      <c r="AI7" s="22" t="str">
        <f t="shared" si="3"/>
        <v>M</v>
      </c>
      <c r="AJ7" s="22" t="str">
        <f t="shared" si="3"/>
        <v>M</v>
      </c>
      <c r="AK7" s="23" t="str">
        <f t="shared" si="3"/>
        <v>J</v>
      </c>
      <c r="AL7" s="22" t="str">
        <f t="shared" si="3"/>
        <v>V</v>
      </c>
      <c r="AM7" s="22" t="str">
        <f t="shared" si="3"/>
        <v>S</v>
      </c>
      <c r="AN7" s="22" t="str">
        <f t="shared" si="3"/>
        <v>D</v>
      </c>
      <c r="AO7" s="22" t="str">
        <f t="shared" si="3"/>
        <v>L</v>
      </c>
      <c r="AP7" s="22" t="str">
        <f t="shared" si="3"/>
        <v>M</v>
      </c>
      <c r="AQ7" s="22" t="str">
        <f t="shared" si="3"/>
        <v>M</v>
      </c>
      <c r="AR7" s="23" t="str">
        <f t="shared" si="3"/>
        <v>J</v>
      </c>
      <c r="AS7" s="22" t="str">
        <f t="shared" si="3"/>
        <v>V</v>
      </c>
      <c r="AT7" s="22" t="str">
        <f t="shared" si="3"/>
        <v>S</v>
      </c>
      <c r="AU7" s="22" t="str">
        <f t="shared" si="3"/>
        <v>D</v>
      </c>
      <c r="AV7" s="22" t="str">
        <f t="shared" si="3"/>
        <v>L</v>
      </c>
      <c r="AW7" s="22" t="str">
        <f t="shared" si="3"/>
        <v>M</v>
      </c>
      <c r="AX7" s="22" t="str">
        <f t="shared" si="3"/>
        <v>M</v>
      </c>
      <c r="AY7" s="23" t="str">
        <f t="shared" si="3"/>
        <v>J</v>
      </c>
      <c r="AZ7" s="22" t="str">
        <f t="shared" si="3"/>
        <v>V</v>
      </c>
      <c r="BA7" s="22" t="str">
        <f t="shared" si="3"/>
        <v>S</v>
      </c>
      <c r="BB7" s="22" t="str">
        <f t="shared" si="3"/>
        <v>D</v>
      </c>
      <c r="BC7" s="22" t="str">
        <f t="shared" si="3"/>
        <v>L</v>
      </c>
      <c r="BD7" s="22" t="str">
        <f t="shared" si="3"/>
        <v>M</v>
      </c>
      <c r="BE7" s="22" t="str">
        <f t="shared" si="3"/>
        <v>M</v>
      </c>
      <c r="BF7" s="23" t="str">
        <f t="shared" si="3"/>
        <v>J</v>
      </c>
      <c r="BG7" s="22" t="str">
        <f t="shared" si="3"/>
        <v>V</v>
      </c>
      <c r="BH7" s="22" t="str">
        <f t="shared" si="3"/>
        <v>S</v>
      </c>
      <c r="BI7" s="22" t="str">
        <f t="shared" si="3"/>
        <v>D</v>
      </c>
      <c r="BJ7" s="22" t="str">
        <f t="shared" si="3"/>
        <v>L</v>
      </c>
      <c r="BK7" s="22" t="str">
        <f t="shared" si="3"/>
        <v>M</v>
      </c>
      <c r="BL7" s="22" t="str">
        <f t="shared" si="3"/>
        <v>M</v>
      </c>
      <c r="BM7" s="23" t="str">
        <f t="shared" si="3"/>
        <v>J</v>
      </c>
      <c r="BN7" s="22" t="str">
        <f t="shared" si="3"/>
        <v>V</v>
      </c>
      <c r="BO7" s="22" t="str">
        <f t="shared" si="3"/>
        <v>S</v>
      </c>
      <c r="BP7" s="22" t="str">
        <f t="shared" si="3"/>
        <v>D</v>
      </c>
      <c r="BQ7" s="22" t="str">
        <f t="shared" si="3"/>
        <v>L</v>
      </c>
      <c r="BR7" s="22" t="str">
        <f t="shared" si="3"/>
        <v>M</v>
      </c>
      <c r="BS7" s="22" t="str">
        <f t="shared" si="3"/>
        <v>M</v>
      </c>
      <c r="BT7" s="23" t="str">
        <f t="shared" si="3"/>
        <v>J</v>
      </c>
      <c r="BU7" s="22" t="str">
        <f t="shared" si="3"/>
        <v>V</v>
      </c>
      <c r="BV7" s="22" t="str">
        <f t="shared" si="3"/>
        <v>S</v>
      </c>
      <c r="BW7" s="22" t="str">
        <f t="shared" ref="BW7:DJ7" si="4">(UPPER(LEFT(TEXT(BW6,"DDD"))))</f>
        <v>D</v>
      </c>
      <c r="BX7" s="22" t="str">
        <f t="shared" si="4"/>
        <v>L</v>
      </c>
      <c r="BY7" s="22" t="str">
        <f t="shared" si="4"/>
        <v>M</v>
      </c>
      <c r="BZ7" s="22" t="str">
        <f t="shared" si="4"/>
        <v>M</v>
      </c>
      <c r="CA7" s="23" t="str">
        <f t="shared" si="4"/>
        <v>J</v>
      </c>
      <c r="CB7" s="22" t="str">
        <f t="shared" si="4"/>
        <v>V</v>
      </c>
      <c r="CC7" s="22" t="str">
        <f t="shared" si="4"/>
        <v>S</v>
      </c>
      <c r="CD7" s="22" t="str">
        <f t="shared" si="4"/>
        <v>D</v>
      </c>
      <c r="CE7" s="22" t="str">
        <f t="shared" si="4"/>
        <v>L</v>
      </c>
      <c r="CF7" s="22" t="str">
        <f t="shared" si="4"/>
        <v>M</v>
      </c>
      <c r="CG7" s="22" t="str">
        <f t="shared" si="4"/>
        <v>M</v>
      </c>
      <c r="CH7" s="22" t="str">
        <f t="shared" si="4"/>
        <v>J</v>
      </c>
      <c r="CI7" s="42" t="str">
        <f t="shared" si="4"/>
        <v>V</v>
      </c>
      <c r="CJ7" s="42" t="str">
        <f t="shared" si="4"/>
        <v>S</v>
      </c>
      <c r="CK7" s="42" t="str">
        <f t="shared" si="4"/>
        <v>D</v>
      </c>
      <c r="CL7" s="42" t="str">
        <f t="shared" si="4"/>
        <v>L</v>
      </c>
      <c r="CM7" s="42" t="str">
        <f t="shared" si="4"/>
        <v>M</v>
      </c>
      <c r="CN7" s="42" t="str">
        <f t="shared" si="4"/>
        <v>M</v>
      </c>
      <c r="CO7" s="42" t="str">
        <f t="shared" si="4"/>
        <v>J</v>
      </c>
      <c r="CP7" s="42" t="str">
        <f t="shared" si="4"/>
        <v>V</v>
      </c>
      <c r="CQ7" s="42" t="str">
        <f t="shared" si="4"/>
        <v>S</v>
      </c>
      <c r="CR7" s="42" t="str">
        <f t="shared" si="4"/>
        <v>D</v>
      </c>
      <c r="CS7" s="42" t="str">
        <f t="shared" si="4"/>
        <v>L</v>
      </c>
      <c r="CT7" s="42" t="str">
        <f t="shared" si="4"/>
        <v>M</v>
      </c>
      <c r="CU7" s="42" t="str">
        <f t="shared" si="4"/>
        <v>M</v>
      </c>
      <c r="CV7" s="42" t="str">
        <f t="shared" si="4"/>
        <v>J</v>
      </c>
      <c r="CW7" s="42" t="str">
        <f t="shared" si="4"/>
        <v>V</v>
      </c>
      <c r="CX7" s="42" t="str">
        <f t="shared" si="4"/>
        <v>S</v>
      </c>
      <c r="CY7" s="42" t="str">
        <f t="shared" si="4"/>
        <v>D</v>
      </c>
      <c r="CZ7" s="42" t="str">
        <f t="shared" si="4"/>
        <v>L</v>
      </c>
      <c r="DA7" s="42" t="str">
        <f t="shared" si="4"/>
        <v>M</v>
      </c>
      <c r="DB7" s="42" t="str">
        <f t="shared" si="4"/>
        <v>M</v>
      </c>
      <c r="DC7" s="42" t="str">
        <f t="shared" si="4"/>
        <v>J</v>
      </c>
      <c r="DD7" s="42" t="str">
        <f t="shared" si="4"/>
        <v>V</v>
      </c>
      <c r="DE7" s="42" t="str">
        <f t="shared" si="4"/>
        <v>S</v>
      </c>
      <c r="DF7" s="42" t="str">
        <f t="shared" si="4"/>
        <v>D</v>
      </c>
      <c r="DG7" s="42" t="str">
        <f t="shared" si="4"/>
        <v>L</v>
      </c>
      <c r="DH7" s="42" t="str">
        <f t="shared" si="4"/>
        <v>M</v>
      </c>
      <c r="DI7" s="42" t="str">
        <f t="shared" si="4"/>
        <v>M</v>
      </c>
      <c r="DJ7" s="51" t="str">
        <f t="shared" si="4"/>
        <v>J</v>
      </c>
    </row>
    <row r="8" spans="2:114" x14ac:dyDescent="0.25">
      <c r="B8" s="39" t="s">
        <v>6</v>
      </c>
      <c r="C8" s="54"/>
      <c r="D8" s="10"/>
      <c r="E8" s="54">
        <f>SUM(E9:E16)</f>
        <v>27</v>
      </c>
      <c r="F8" s="11">
        <f>SUM(F9:F16)/8</f>
        <v>1</v>
      </c>
      <c r="G8" s="12">
        <v>46244</v>
      </c>
      <c r="H8" s="30">
        <v>46272</v>
      </c>
      <c r="I8" s="37"/>
      <c r="J8" s="34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  <c r="BP8" s="21"/>
      <c r="BQ8" s="21"/>
      <c r="BR8" s="21"/>
      <c r="BS8" s="21"/>
      <c r="BT8" s="21"/>
      <c r="BU8" s="21"/>
      <c r="BV8" s="21"/>
      <c r="BW8" s="21"/>
      <c r="BX8" s="21"/>
      <c r="BY8" s="21"/>
      <c r="BZ8" s="21"/>
      <c r="CA8" s="21"/>
      <c r="CB8" s="21"/>
      <c r="CC8" s="21"/>
      <c r="CD8" s="21"/>
      <c r="CE8" s="21"/>
      <c r="CF8" s="21"/>
      <c r="CG8" s="41"/>
      <c r="CH8" s="21"/>
      <c r="CI8" s="45"/>
      <c r="CJ8" s="45"/>
      <c r="CK8" s="45"/>
      <c r="CL8" s="45"/>
      <c r="CM8" s="45"/>
      <c r="CN8" s="45"/>
      <c r="CO8" s="45"/>
      <c r="CP8" s="45"/>
      <c r="CQ8" s="45"/>
      <c r="CR8" s="45"/>
      <c r="CS8" s="45"/>
      <c r="CT8" s="45"/>
      <c r="CU8" s="45"/>
      <c r="CV8" s="45"/>
      <c r="CW8" s="45"/>
      <c r="CX8" s="45"/>
      <c r="CY8" s="45"/>
      <c r="CZ8" s="45"/>
      <c r="DA8" s="45"/>
      <c r="DB8" s="45"/>
      <c r="DC8" s="45"/>
      <c r="DD8" s="45"/>
      <c r="DE8" s="45"/>
      <c r="DF8" s="45"/>
      <c r="DG8" s="45"/>
      <c r="DH8" s="45"/>
      <c r="DI8" s="45"/>
      <c r="DJ8" s="46"/>
    </row>
    <row r="9" spans="2:114" x14ac:dyDescent="0.25">
      <c r="B9" s="35" t="s">
        <v>7</v>
      </c>
      <c r="C9" s="9"/>
      <c r="D9" s="9" t="s">
        <v>28</v>
      </c>
      <c r="E9" s="9">
        <v>4</v>
      </c>
      <c r="F9" s="7">
        <v>1</v>
      </c>
      <c r="G9" s="8">
        <v>46244</v>
      </c>
      <c r="H9" s="31">
        <v>46251</v>
      </c>
      <c r="I9" s="37"/>
      <c r="J9" s="35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21"/>
      <c r="CH9" s="6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F9" s="40"/>
      <c r="DG9" s="40"/>
      <c r="DH9" s="40"/>
      <c r="DI9" s="40"/>
      <c r="DJ9" s="47"/>
    </row>
    <row r="10" spans="2:114" x14ac:dyDescent="0.25">
      <c r="B10" s="35" t="s">
        <v>8</v>
      </c>
      <c r="C10" s="9"/>
      <c r="D10" s="9" t="s">
        <v>28</v>
      </c>
      <c r="E10" s="9">
        <v>4</v>
      </c>
      <c r="F10" s="7">
        <v>1</v>
      </c>
      <c r="G10" s="8">
        <v>46251</v>
      </c>
      <c r="H10" s="31">
        <v>46261</v>
      </c>
      <c r="I10" s="37"/>
      <c r="J10" s="35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F10" s="40"/>
      <c r="DG10" s="40"/>
      <c r="DH10" s="40"/>
      <c r="DI10" s="40"/>
      <c r="DJ10" s="47"/>
    </row>
    <row r="11" spans="2:114" x14ac:dyDescent="0.25">
      <c r="B11" s="35" t="s">
        <v>9</v>
      </c>
      <c r="C11" s="9"/>
      <c r="D11" s="9" t="s">
        <v>41</v>
      </c>
      <c r="E11" s="9">
        <v>6</v>
      </c>
      <c r="F11" s="7">
        <v>1</v>
      </c>
      <c r="G11" s="8">
        <v>46258</v>
      </c>
      <c r="H11" s="31">
        <v>46272</v>
      </c>
      <c r="I11" s="37"/>
      <c r="J11" s="35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7"/>
    </row>
    <row r="12" spans="2:114" x14ac:dyDescent="0.25">
      <c r="B12" s="35" t="s">
        <v>10</v>
      </c>
      <c r="C12" s="9"/>
      <c r="D12" s="9" t="s">
        <v>28</v>
      </c>
      <c r="E12" s="9">
        <v>2</v>
      </c>
      <c r="F12" s="7">
        <v>1</v>
      </c>
      <c r="G12" s="8">
        <v>46258</v>
      </c>
      <c r="H12" s="31">
        <v>46265</v>
      </c>
      <c r="I12" s="37"/>
      <c r="J12" s="35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40"/>
      <c r="CJ12" s="40"/>
      <c r="CK12" s="40"/>
      <c r="CL12" s="40"/>
      <c r="CM12" s="40"/>
      <c r="CN12" s="40"/>
      <c r="CO12" s="40"/>
      <c r="CP12" s="40"/>
      <c r="CQ12" s="40"/>
      <c r="CR12" s="40"/>
      <c r="CS12" s="40"/>
      <c r="CT12" s="40"/>
      <c r="CU12" s="40"/>
      <c r="CV12" s="40"/>
      <c r="CW12" s="40"/>
      <c r="CX12" s="40"/>
      <c r="CY12" s="40"/>
      <c r="CZ12" s="40"/>
      <c r="DA12" s="40"/>
      <c r="DB12" s="40"/>
      <c r="DC12" s="40"/>
      <c r="DD12" s="40"/>
      <c r="DE12" s="40"/>
      <c r="DF12" s="40"/>
      <c r="DG12" s="40"/>
      <c r="DH12" s="40"/>
      <c r="DI12" s="40"/>
      <c r="DJ12" s="47"/>
    </row>
    <row r="13" spans="2:114" x14ac:dyDescent="0.25">
      <c r="B13" s="35" t="s">
        <v>11</v>
      </c>
      <c r="C13" s="9"/>
      <c r="D13" s="9" t="s">
        <v>28</v>
      </c>
      <c r="E13" s="9">
        <v>2</v>
      </c>
      <c r="F13" s="7">
        <v>1</v>
      </c>
      <c r="G13" s="8">
        <v>46258</v>
      </c>
      <c r="H13" s="31">
        <v>46265</v>
      </c>
      <c r="I13" s="37"/>
      <c r="J13" s="35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7"/>
    </row>
    <row r="14" spans="2:114" x14ac:dyDescent="0.25">
      <c r="B14" s="35" t="s">
        <v>12</v>
      </c>
      <c r="C14" s="9"/>
      <c r="D14" s="9" t="s">
        <v>28</v>
      </c>
      <c r="E14" s="9">
        <v>4</v>
      </c>
      <c r="F14" s="7">
        <v>1</v>
      </c>
      <c r="G14" s="8">
        <v>46265</v>
      </c>
      <c r="H14" s="31">
        <v>46272</v>
      </c>
      <c r="I14" s="37"/>
      <c r="J14" s="35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7"/>
    </row>
    <row r="15" spans="2:114" x14ac:dyDescent="0.25">
      <c r="B15" s="35" t="s">
        <v>13</v>
      </c>
      <c r="C15" s="9"/>
      <c r="D15" s="9" t="s">
        <v>28</v>
      </c>
      <c r="E15" s="9">
        <v>2</v>
      </c>
      <c r="F15" s="7">
        <v>1</v>
      </c>
      <c r="G15" s="8">
        <v>46265</v>
      </c>
      <c r="H15" s="31">
        <v>46272</v>
      </c>
      <c r="I15" s="37"/>
      <c r="J15" s="35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 s="40"/>
      <c r="DE15" s="40"/>
      <c r="DF15" s="40"/>
      <c r="DG15" s="40"/>
      <c r="DH15" s="40"/>
      <c r="DI15" s="40"/>
      <c r="DJ15" s="47"/>
    </row>
    <row r="16" spans="2:114" x14ac:dyDescent="0.25">
      <c r="B16" s="35" t="s">
        <v>14</v>
      </c>
      <c r="C16" s="9"/>
      <c r="D16" s="9" t="s">
        <v>42</v>
      </c>
      <c r="E16" s="9">
        <v>3</v>
      </c>
      <c r="F16" s="7">
        <v>1</v>
      </c>
      <c r="G16" s="8">
        <v>46258</v>
      </c>
      <c r="H16" s="31">
        <v>46261</v>
      </c>
      <c r="I16" s="37"/>
      <c r="J16" s="35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40"/>
      <c r="CJ16" s="40"/>
      <c r="CK16" s="40"/>
      <c r="CL16" s="40"/>
      <c r="CM16" s="40"/>
      <c r="CN16" s="40"/>
      <c r="CO16" s="40"/>
      <c r="CP16" s="40"/>
      <c r="CQ16" s="40"/>
      <c r="CR16" s="40"/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40"/>
      <c r="DH16" s="40"/>
      <c r="DI16" s="40"/>
      <c r="DJ16" s="47"/>
    </row>
    <row r="17" spans="2:114" x14ac:dyDescent="0.25">
      <c r="B17" s="39" t="s">
        <v>15</v>
      </c>
      <c r="C17" s="54"/>
      <c r="D17" s="10"/>
      <c r="E17" s="54">
        <f>SUM(E18:E24)</f>
        <v>56</v>
      </c>
      <c r="F17" s="11">
        <f>SUM(F18:F24)/7</f>
        <v>0.14285714285714285</v>
      </c>
      <c r="G17" s="12">
        <f>H8</f>
        <v>46272</v>
      </c>
      <c r="H17" s="30">
        <v>46289</v>
      </c>
      <c r="I17" s="37"/>
      <c r="J17" s="35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7"/>
    </row>
    <row r="18" spans="2:114" x14ac:dyDescent="0.25">
      <c r="B18" s="35" t="s">
        <v>36</v>
      </c>
      <c r="C18" s="9"/>
      <c r="D18" s="9" t="s">
        <v>28</v>
      </c>
      <c r="E18" s="9">
        <v>4</v>
      </c>
      <c r="F18" s="7">
        <v>1</v>
      </c>
      <c r="G18" s="8">
        <v>46272</v>
      </c>
      <c r="H18" s="31">
        <v>46275</v>
      </c>
      <c r="I18" s="37"/>
      <c r="J18" s="35"/>
      <c r="K18" s="6"/>
      <c r="L18" s="6"/>
      <c r="M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40"/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40"/>
      <c r="CZ18" s="40"/>
      <c r="DA18" s="40"/>
      <c r="DB18" s="40"/>
      <c r="DC18" s="40"/>
      <c r="DD18" s="40"/>
      <c r="DE18" s="40"/>
      <c r="DF18" s="40"/>
      <c r="DG18" s="40"/>
      <c r="DH18" s="40"/>
      <c r="DI18" s="40"/>
      <c r="DJ18" s="47"/>
    </row>
    <row r="19" spans="2:114" x14ac:dyDescent="0.25">
      <c r="B19" s="35" t="s">
        <v>29</v>
      </c>
      <c r="C19" s="9"/>
      <c r="D19" s="9" t="s">
        <v>43</v>
      </c>
      <c r="E19" s="9">
        <v>10</v>
      </c>
      <c r="F19" s="7">
        <v>0</v>
      </c>
      <c r="G19" s="8">
        <v>46275</v>
      </c>
      <c r="H19" s="31">
        <v>46279</v>
      </c>
      <c r="I19" s="37"/>
      <c r="J19" s="35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40"/>
      <c r="CJ19" s="40"/>
      <c r="CK19" s="40"/>
      <c r="CL19" s="40"/>
      <c r="CM19" s="40"/>
      <c r="CN19" s="40"/>
      <c r="CO19" s="40"/>
      <c r="CP19" s="40"/>
      <c r="CQ19" s="40"/>
      <c r="CR19" s="40"/>
      <c r="CS19" s="40"/>
      <c r="CT19" s="40"/>
      <c r="CU19" s="40"/>
      <c r="CV19" s="40"/>
      <c r="CW19" s="40"/>
      <c r="CX19" s="40"/>
      <c r="CY19" s="40"/>
      <c r="CZ19" s="40"/>
      <c r="DA19" s="40"/>
      <c r="DB19" s="40"/>
      <c r="DC19" s="40"/>
      <c r="DD19" s="40"/>
      <c r="DE19" s="40"/>
      <c r="DF19" s="40"/>
      <c r="DG19" s="40"/>
      <c r="DH19" s="40"/>
      <c r="DI19" s="40"/>
      <c r="DJ19" s="47"/>
    </row>
    <row r="20" spans="2:114" x14ac:dyDescent="0.25">
      <c r="B20" s="35" t="s">
        <v>30</v>
      </c>
      <c r="C20" s="9"/>
      <c r="D20" s="9" t="s">
        <v>28</v>
      </c>
      <c r="E20" s="9">
        <v>2</v>
      </c>
      <c r="F20" s="7">
        <v>0</v>
      </c>
      <c r="G20" s="8">
        <v>46275</v>
      </c>
      <c r="H20" s="31">
        <v>46279</v>
      </c>
      <c r="I20" s="37"/>
      <c r="J20" s="35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7"/>
    </row>
    <row r="21" spans="2:114" x14ac:dyDescent="0.25">
      <c r="B21" s="35" t="s">
        <v>31</v>
      </c>
      <c r="C21" s="9"/>
      <c r="D21" s="9" t="s">
        <v>49</v>
      </c>
      <c r="E21" s="9">
        <v>10</v>
      </c>
      <c r="F21" s="7">
        <v>0</v>
      </c>
      <c r="G21" s="8">
        <v>46279</v>
      </c>
      <c r="H21" s="31">
        <v>46289</v>
      </c>
      <c r="I21" s="37"/>
      <c r="J21" s="35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40"/>
      <c r="CJ21" s="40"/>
      <c r="CK21" s="40"/>
      <c r="CL21" s="40"/>
      <c r="CM21" s="40"/>
      <c r="CN21" s="40"/>
      <c r="CO21" s="40"/>
      <c r="CP21" s="40"/>
      <c r="CQ21" s="40"/>
      <c r="CR21" s="40"/>
      <c r="CS21" s="40"/>
      <c r="CT21" s="40"/>
      <c r="CU21" s="40"/>
      <c r="CV21" s="40"/>
      <c r="CW21" s="40"/>
      <c r="CX21" s="40"/>
      <c r="CY21" s="40"/>
      <c r="CZ21" s="40"/>
      <c r="DA21" s="40"/>
      <c r="DB21" s="40"/>
      <c r="DC21" s="40"/>
      <c r="DD21" s="40"/>
      <c r="DE21" s="40"/>
      <c r="DF21" s="40"/>
      <c r="DG21" s="40"/>
      <c r="DH21" s="40"/>
      <c r="DI21" s="40"/>
      <c r="DJ21" s="47"/>
    </row>
    <row r="22" spans="2:114" x14ac:dyDescent="0.25">
      <c r="B22" s="35" t="s">
        <v>32</v>
      </c>
      <c r="C22" s="9"/>
      <c r="D22" s="9" t="s">
        <v>44</v>
      </c>
      <c r="E22" s="9">
        <v>10</v>
      </c>
      <c r="F22" s="7">
        <v>0</v>
      </c>
      <c r="G22" s="13">
        <v>46279</v>
      </c>
      <c r="H22" s="32">
        <v>46289</v>
      </c>
      <c r="I22" s="37"/>
      <c r="J22" s="35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40"/>
      <c r="CJ22" s="40"/>
      <c r="CK22" s="40"/>
      <c r="CL22" s="40"/>
      <c r="CM22" s="40"/>
      <c r="CN22" s="40"/>
      <c r="CO22" s="40"/>
      <c r="CP22" s="40"/>
      <c r="CQ22" s="40"/>
      <c r="CR22" s="40"/>
      <c r="CS22" s="40"/>
      <c r="CT22" s="40"/>
      <c r="CU22" s="40"/>
      <c r="CV22" s="40"/>
      <c r="CW22" s="40"/>
      <c r="CX22" s="40"/>
      <c r="CY22" s="40"/>
      <c r="CZ22" s="40"/>
      <c r="DA22" s="40"/>
      <c r="DB22" s="40"/>
      <c r="DC22" s="40"/>
      <c r="DD22" s="40"/>
      <c r="DE22" s="40"/>
      <c r="DF22" s="40"/>
      <c r="DG22" s="40"/>
      <c r="DH22" s="40"/>
      <c r="DI22" s="40"/>
      <c r="DJ22" s="47"/>
    </row>
    <row r="23" spans="2:114" x14ac:dyDescent="0.25">
      <c r="B23" s="35" t="s">
        <v>33</v>
      </c>
      <c r="C23" s="9"/>
      <c r="D23" s="9" t="s">
        <v>43</v>
      </c>
      <c r="E23" s="9">
        <v>10</v>
      </c>
      <c r="F23" s="7">
        <v>0</v>
      </c>
      <c r="G23" s="13">
        <v>46286</v>
      </c>
      <c r="H23" s="32">
        <v>46289</v>
      </c>
      <c r="I23" s="37"/>
      <c r="J23" s="35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7"/>
    </row>
    <row r="24" spans="2:114" x14ac:dyDescent="0.25">
      <c r="B24" s="35" t="s">
        <v>35</v>
      </c>
      <c r="C24" s="9"/>
      <c r="D24" s="9" t="s">
        <v>41</v>
      </c>
      <c r="E24" s="9">
        <v>10</v>
      </c>
      <c r="F24" s="7">
        <v>0</v>
      </c>
      <c r="G24" s="13">
        <v>46286</v>
      </c>
      <c r="H24" s="32">
        <v>46289</v>
      </c>
      <c r="I24" s="37"/>
      <c r="J24" s="35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40"/>
      <c r="CJ24" s="40"/>
      <c r="CK24" s="40"/>
      <c r="CL24" s="40"/>
      <c r="CM24" s="40"/>
      <c r="CN24" s="40"/>
      <c r="CO24" s="40"/>
      <c r="CP24" s="40"/>
      <c r="CQ24" s="40"/>
      <c r="CR24" s="40"/>
      <c r="CS24" s="40"/>
      <c r="CT24" s="40"/>
      <c r="CU24" s="40"/>
      <c r="CV24" s="40"/>
      <c r="CW24" s="40"/>
      <c r="CX24" s="40"/>
      <c r="CY24" s="40"/>
      <c r="CZ24" s="40"/>
      <c r="DA24" s="40"/>
      <c r="DB24" s="40"/>
      <c r="DC24" s="40"/>
      <c r="DD24" s="40"/>
      <c r="DE24" s="40"/>
      <c r="DF24" s="40"/>
      <c r="DG24" s="40"/>
      <c r="DH24" s="40"/>
      <c r="DI24" s="40"/>
      <c r="DJ24" s="47"/>
    </row>
    <row r="25" spans="2:114" x14ac:dyDescent="0.25">
      <c r="B25" s="39" t="s">
        <v>16</v>
      </c>
      <c r="C25" s="54"/>
      <c r="D25" s="10"/>
      <c r="E25" s="54">
        <f>SUM(E26:E30)</f>
        <v>26</v>
      </c>
      <c r="F25" s="11">
        <f>SUM(F26:F30)/5</f>
        <v>0</v>
      </c>
      <c r="G25" s="12">
        <f>H17</f>
        <v>46289</v>
      </c>
      <c r="H25" s="30">
        <v>46303</v>
      </c>
      <c r="I25" s="37"/>
      <c r="J25" s="35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40"/>
      <c r="CJ25" s="40"/>
      <c r="CK25" s="40"/>
      <c r="CL25" s="40"/>
      <c r="CM25" s="40"/>
      <c r="CN25" s="40"/>
      <c r="CO25" s="40"/>
      <c r="CP25" s="40"/>
      <c r="CQ25" s="40"/>
      <c r="CR25" s="40"/>
      <c r="CS25" s="40"/>
      <c r="CT25" s="40"/>
      <c r="CU25" s="40"/>
      <c r="CV25" s="40"/>
      <c r="CW25" s="40"/>
      <c r="CX25" s="40"/>
      <c r="CY25" s="40"/>
      <c r="CZ25" s="40"/>
      <c r="DA25" s="40"/>
      <c r="DB25" s="40"/>
      <c r="DC25" s="40"/>
      <c r="DD25" s="40"/>
      <c r="DE25" s="40"/>
      <c r="DF25" s="40"/>
      <c r="DG25" s="40"/>
      <c r="DH25" s="40"/>
      <c r="DI25" s="40"/>
      <c r="DJ25" s="47"/>
    </row>
    <row r="26" spans="2:114" x14ac:dyDescent="0.25">
      <c r="B26" s="35" t="s">
        <v>26</v>
      </c>
      <c r="C26" s="9" t="s">
        <v>47</v>
      </c>
      <c r="D26" s="9" t="s">
        <v>43</v>
      </c>
      <c r="E26" s="9">
        <v>10</v>
      </c>
      <c r="F26" s="7">
        <v>0</v>
      </c>
      <c r="G26" s="8">
        <v>46289</v>
      </c>
      <c r="H26" s="31">
        <v>46296</v>
      </c>
      <c r="I26" s="37"/>
      <c r="J26" s="35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7"/>
    </row>
    <row r="27" spans="2:114" x14ac:dyDescent="0.25">
      <c r="B27" s="35" t="s">
        <v>27</v>
      </c>
      <c r="C27" s="9"/>
      <c r="D27" s="9" t="s">
        <v>43</v>
      </c>
      <c r="E27" s="9">
        <v>4</v>
      </c>
      <c r="F27" s="7">
        <v>0</v>
      </c>
      <c r="G27" s="8">
        <v>46289</v>
      </c>
      <c r="H27" s="31">
        <v>46296</v>
      </c>
      <c r="I27" s="37"/>
      <c r="J27" s="35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40"/>
      <c r="CJ27" s="40"/>
      <c r="CK27" s="40"/>
      <c r="CL27" s="40"/>
      <c r="CM27" s="40"/>
      <c r="CN27" s="40"/>
      <c r="CO27" s="40"/>
      <c r="CP27" s="40"/>
      <c r="CQ27" s="40"/>
      <c r="CR27" s="40"/>
      <c r="CS27" s="40"/>
      <c r="CT27" s="40"/>
      <c r="CU27" s="40"/>
      <c r="CV27" s="40"/>
      <c r="CW27" s="40"/>
      <c r="CX27" s="40"/>
      <c r="CY27" s="40"/>
      <c r="CZ27" s="40"/>
      <c r="DA27" s="40"/>
      <c r="DB27" s="40"/>
      <c r="DC27" s="40"/>
      <c r="DD27" s="40"/>
      <c r="DE27" s="40"/>
      <c r="DF27" s="40"/>
      <c r="DG27" s="40"/>
      <c r="DH27" s="40"/>
      <c r="DI27" s="40"/>
      <c r="DJ27" s="47"/>
    </row>
    <row r="28" spans="2:114" x14ac:dyDescent="0.25">
      <c r="B28" s="35" t="s">
        <v>17</v>
      </c>
      <c r="C28" s="9"/>
      <c r="D28" s="9" t="s">
        <v>43</v>
      </c>
      <c r="E28" s="9">
        <v>4</v>
      </c>
      <c r="F28" s="7">
        <v>0</v>
      </c>
      <c r="G28" s="8">
        <v>46296</v>
      </c>
      <c r="H28" s="31">
        <v>46303</v>
      </c>
      <c r="I28" s="37"/>
      <c r="J28" s="35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40"/>
      <c r="CJ28" s="40"/>
      <c r="CK28" s="40"/>
      <c r="CL28" s="40"/>
      <c r="CM28" s="40"/>
      <c r="CN28" s="40"/>
      <c r="CO28" s="40"/>
      <c r="CP28" s="40"/>
      <c r="CQ28" s="40"/>
      <c r="CR28" s="40"/>
      <c r="CS28" s="40"/>
      <c r="CT28" s="40"/>
      <c r="CU28" s="40"/>
      <c r="CV28" s="40"/>
      <c r="CW28" s="40"/>
      <c r="CX28" s="40"/>
      <c r="CY28" s="40"/>
      <c r="CZ28" s="40"/>
      <c r="DA28" s="40"/>
      <c r="DB28" s="40"/>
      <c r="DC28" s="40"/>
      <c r="DD28" s="40"/>
      <c r="DE28" s="40"/>
      <c r="DF28" s="40"/>
      <c r="DG28" s="40"/>
      <c r="DH28" s="40"/>
      <c r="DI28" s="40"/>
      <c r="DJ28" s="47"/>
    </row>
    <row r="29" spans="2:114" x14ac:dyDescent="0.25">
      <c r="B29" s="35" t="s">
        <v>18</v>
      </c>
      <c r="C29" s="9"/>
      <c r="D29" s="9" t="s">
        <v>43</v>
      </c>
      <c r="E29" s="9">
        <v>4</v>
      </c>
      <c r="F29" s="7">
        <v>0</v>
      </c>
      <c r="G29" s="8">
        <v>46296</v>
      </c>
      <c r="H29" s="31">
        <v>46303</v>
      </c>
      <c r="I29" s="37"/>
      <c r="J29" s="35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7"/>
    </row>
    <row r="30" spans="2:114" x14ac:dyDescent="0.25">
      <c r="B30" s="35" t="s">
        <v>19</v>
      </c>
      <c r="C30" s="9"/>
      <c r="D30" s="9" t="s">
        <v>43</v>
      </c>
      <c r="E30" s="9">
        <v>4</v>
      </c>
      <c r="F30" s="7">
        <v>0</v>
      </c>
      <c r="G30" s="8">
        <v>46296</v>
      </c>
      <c r="H30" s="31">
        <v>46303</v>
      </c>
      <c r="I30" s="37"/>
      <c r="J30" s="35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40"/>
      <c r="CJ30" s="40"/>
      <c r="CK30" s="40"/>
      <c r="CL30" s="40"/>
      <c r="CM30" s="40"/>
      <c r="CN30" s="40"/>
      <c r="CO30" s="40"/>
      <c r="CP30" s="40"/>
      <c r="CQ30" s="40"/>
      <c r="CR30" s="40"/>
      <c r="CS30" s="40"/>
      <c r="CT30" s="40"/>
      <c r="CU30" s="40"/>
      <c r="CV30" s="40"/>
      <c r="CW30" s="40"/>
      <c r="CX30" s="40"/>
      <c r="CY30" s="40"/>
      <c r="CZ30" s="40"/>
      <c r="DA30" s="40"/>
      <c r="DB30" s="40"/>
      <c r="DC30" s="40"/>
      <c r="DD30" s="40"/>
      <c r="DE30" s="40"/>
      <c r="DF30" s="40"/>
      <c r="DG30" s="40"/>
      <c r="DH30" s="40"/>
      <c r="DI30" s="40"/>
      <c r="DJ30" s="47"/>
    </row>
    <row r="31" spans="2:114" x14ac:dyDescent="0.25">
      <c r="B31" s="39" t="s">
        <v>37</v>
      </c>
      <c r="C31" s="54"/>
      <c r="D31" s="10"/>
      <c r="E31" s="54">
        <f>SUM(E32:E37)</f>
        <v>50</v>
      </c>
      <c r="F31" s="11">
        <f>SUM(F32:F37)/6</f>
        <v>0</v>
      </c>
      <c r="G31" s="12">
        <f>H25</f>
        <v>46303</v>
      </c>
      <c r="H31" s="30">
        <v>46324</v>
      </c>
      <c r="I31" s="37"/>
      <c r="J31" s="35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40"/>
      <c r="CJ31" s="40"/>
      <c r="CK31" s="40"/>
      <c r="CL31" s="40"/>
      <c r="CM31" s="40"/>
      <c r="CN31" s="40"/>
      <c r="CO31" s="40"/>
      <c r="CP31" s="40"/>
      <c r="CQ31" s="40"/>
      <c r="CR31" s="40"/>
      <c r="CS31" s="40"/>
      <c r="CT31" s="40"/>
      <c r="CU31" s="40"/>
      <c r="CV31" s="40"/>
      <c r="CW31" s="40"/>
      <c r="CX31" s="40"/>
      <c r="CY31" s="40"/>
      <c r="CZ31" s="40"/>
      <c r="DA31" s="40"/>
      <c r="DB31" s="40"/>
      <c r="DC31" s="40"/>
      <c r="DD31" s="40"/>
      <c r="DE31" s="40"/>
      <c r="DF31" s="40"/>
      <c r="DG31" s="40"/>
      <c r="DH31" s="40"/>
      <c r="DI31" s="40"/>
      <c r="DJ31" s="47"/>
    </row>
    <row r="32" spans="2:114" x14ac:dyDescent="0.25">
      <c r="B32" s="35" t="s">
        <v>38</v>
      </c>
      <c r="C32" s="9" t="s">
        <v>50</v>
      </c>
      <c r="D32" s="9" t="s">
        <v>28</v>
      </c>
      <c r="E32" s="9">
        <v>4</v>
      </c>
      <c r="F32" s="7">
        <v>0</v>
      </c>
      <c r="G32" s="14">
        <v>46303</v>
      </c>
      <c r="H32" s="33">
        <v>46310</v>
      </c>
      <c r="I32" s="37"/>
      <c r="J32" s="35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7"/>
    </row>
    <row r="33" spans="2:114" x14ac:dyDescent="0.25">
      <c r="B33" s="35" t="s">
        <v>20</v>
      </c>
      <c r="C33" s="9" t="s">
        <v>47</v>
      </c>
      <c r="D33" s="9" t="s">
        <v>28</v>
      </c>
      <c r="E33" s="9">
        <v>4</v>
      </c>
      <c r="F33" s="7">
        <v>0</v>
      </c>
      <c r="G33" s="14">
        <v>46303</v>
      </c>
      <c r="H33" s="33">
        <v>46310</v>
      </c>
      <c r="I33" s="37"/>
      <c r="J33" s="35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40"/>
      <c r="CJ33" s="40"/>
      <c r="CK33" s="40"/>
      <c r="CL33" s="40"/>
      <c r="CM33" s="40"/>
      <c r="CN33" s="40"/>
      <c r="CO33" s="40"/>
      <c r="CP33" s="40"/>
      <c r="CQ33" s="40"/>
      <c r="CR33" s="40"/>
      <c r="CS33" s="40"/>
      <c r="CT33" s="40"/>
      <c r="CU33" s="40"/>
      <c r="CV33" s="40"/>
      <c r="CW33" s="40"/>
      <c r="CX33" s="40"/>
      <c r="CY33" s="40"/>
      <c r="CZ33" s="40"/>
      <c r="DA33" s="40"/>
      <c r="DB33" s="40"/>
      <c r="DC33" s="40"/>
      <c r="DD33" s="40"/>
      <c r="DE33" s="40"/>
      <c r="DF33" s="40"/>
      <c r="DG33" s="40"/>
      <c r="DH33" s="40"/>
      <c r="DI33" s="40"/>
      <c r="DJ33" s="47"/>
    </row>
    <row r="34" spans="2:114" x14ac:dyDescent="0.25">
      <c r="B34" s="35" t="s">
        <v>21</v>
      </c>
      <c r="C34" s="9"/>
      <c r="D34" s="9" t="s">
        <v>28</v>
      </c>
      <c r="E34" s="9">
        <v>4</v>
      </c>
      <c r="F34" s="7">
        <v>0</v>
      </c>
      <c r="G34" s="14">
        <v>46310</v>
      </c>
      <c r="H34" s="33">
        <v>46317</v>
      </c>
      <c r="I34" s="37"/>
      <c r="J34" s="35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40"/>
      <c r="CJ34" s="40"/>
      <c r="CK34" s="40"/>
      <c r="CL34" s="40"/>
      <c r="CM34" s="40"/>
      <c r="CN34" s="40"/>
      <c r="CO34" s="40"/>
      <c r="CP34" s="40"/>
      <c r="CQ34" s="40"/>
      <c r="CR34" s="40"/>
      <c r="CS34" s="40"/>
      <c r="CT34" s="40"/>
      <c r="CU34" s="40"/>
      <c r="CV34" s="40"/>
      <c r="CW34" s="40"/>
      <c r="CX34" s="40"/>
      <c r="CY34" s="40"/>
      <c r="CZ34" s="40"/>
      <c r="DA34" s="40"/>
      <c r="DB34" s="40"/>
      <c r="DC34" s="40"/>
      <c r="DD34" s="40"/>
      <c r="DE34" s="40"/>
      <c r="DF34" s="40"/>
      <c r="DG34" s="40"/>
      <c r="DH34" s="40"/>
      <c r="DI34" s="40"/>
      <c r="DJ34" s="47"/>
    </row>
    <row r="35" spans="2:114" x14ac:dyDescent="0.25">
      <c r="B35" s="35" t="s">
        <v>22</v>
      </c>
      <c r="C35" s="9"/>
      <c r="D35" s="9" t="s">
        <v>28</v>
      </c>
      <c r="E35" s="9">
        <v>10</v>
      </c>
      <c r="F35" s="7">
        <v>0</v>
      </c>
      <c r="G35" s="14">
        <v>46310</v>
      </c>
      <c r="H35" s="33">
        <v>46317</v>
      </c>
      <c r="I35" s="37"/>
      <c r="J35" s="3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7"/>
    </row>
    <row r="36" spans="2:114" x14ac:dyDescent="0.25">
      <c r="B36" s="35" t="s">
        <v>48</v>
      </c>
      <c r="C36" s="9" t="s">
        <v>47</v>
      </c>
      <c r="D36" s="9" t="s">
        <v>41</v>
      </c>
      <c r="E36" s="9">
        <v>20</v>
      </c>
      <c r="F36" s="7">
        <v>0</v>
      </c>
      <c r="G36" s="14">
        <v>46282</v>
      </c>
      <c r="H36" s="33">
        <v>46321</v>
      </c>
      <c r="I36" s="37"/>
      <c r="J36" s="35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40"/>
      <c r="CJ36" s="40"/>
      <c r="CK36" s="40"/>
      <c r="CL36" s="40"/>
      <c r="CM36" s="40"/>
      <c r="CN36" s="40"/>
      <c r="CO36" s="40"/>
      <c r="CP36" s="40"/>
      <c r="CQ36" s="40"/>
      <c r="CR36" s="40"/>
      <c r="CS36" s="40"/>
      <c r="CT36" s="40"/>
      <c r="CU36" s="40"/>
      <c r="CV36" s="40"/>
      <c r="CW36" s="40"/>
      <c r="CX36" s="40"/>
      <c r="CY36" s="40"/>
      <c r="CZ36" s="40"/>
      <c r="DA36" s="40"/>
      <c r="DB36" s="40"/>
      <c r="DC36" s="40"/>
      <c r="DD36" s="40"/>
      <c r="DE36" s="40"/>
      <c r="DF36" s="40"/>
      <c r="DG36" s="40"/>
      <c r="DH36" s="40"/>
      <c r="DI36" s="40"/>
      <c r="DJ36" s="47"/>
    </row>
    <row r="37" spans="2:114" x14ac:dyDescent="0.25">
      <c r="B37" s="35" t="s">
        <v>23</v>
      </c>
      <c r="C37" s="9"/>
      <c r="D37" s="9" t="s">
        <v>41</v>
      </c>
      <c r="E37" s="9">
        <v>8</v>
      </c>
      <c r="F37" s="7">
        <v>0</v>
      </c>
      <c r="G37" s="14">
        <v>46321</v>
      </c>
      <c r="H37" s="33">
        <v>46324</v>
      </c>
      <c r="I37" s="37"/>
      <c r="J37" s="35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40"/>
      <c r="CJ37" s="40"/>
      <c r="CK37" s="40"/>
      <c r="CL37" s="40"/>
      <c r="CM37" s="40"/>
      <c r="CN37" s="40"/>
      <c r="CO37" s="40"/>
      <c r="CP37" s="40"/>
      <c r="CQ37" s="40"/>
      <c r="CR37" s="40"/>
      <c r="CS37" s="40"/>
      <c r="CT37" s="40"/>
      <c r="CU37" s="40"/>
      <c r="CV37" s="40"/>
      <c r="CW37" s="40"/>
      <c r="CX37" s="40"/>
      <c r="CY37" s="40"/>
      <c r="CZ37" s="40"/>
      <c r="DA37" s="40"/>
      <c r="DB37" s="40"/>
      <c r="DC37" s="40"/>
      <c r="DD37" s="40"/>
      <c r="DE37" s="40"/>
      <c r="DF37" s="40"/>
      <c r="DG37" s="40"/>
      <c r="DH37" s="40"/>
      <c r="DI37" s="40"/>
      <c r="DJ37" s="47"/>
    </row>
    <row r="38" spans="2:114" x14ac:dyDescent="0.25">
      <c r="B38" s="39" t="s">
        <v>45</v>
      </c>
      <c r="C38" s="54"/>
      <c r="D38" s="10"/>
      <c r="E38" s="54">
        <f>SUM(E39:E41)</f>
        <v>16</v>
      </c>
      <c r="F38" s="11">
        <f>SUM(F39:F40)/2</f>
        <v>0</v>
      </c>
      <c r="G38" s="12">
        <f>H31</f>
        <v>46324</v>
      </c>
      <c r="H38" s="30">
        <v>46342</v>
      </c>
      <c r="I38" s="37"/>
      <c r="J38" s="35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7"/>
    </row>
    <row r="39" spans="2:114" x14ac:dyDescent="0.25">
      <c r="B39" s="35" t="s">
        <v>25</v>
      </c>
      <c r="C39" s="9"/>
      <c r="D39" s="9" t="s">
        <v>28</v>
      </c>
      <c r="E39" s="9">
        <v>12</v>
      </c>
      <c r="F39" s="7">
        <v>0</v>
      </c>
      <c r="G39" s="14">
        <v>46324</v>
      </c>
      <c r="H39" s="33">
        <v>46338</v>
      </c>
      <c r="I39" s="37"/>
      <c r="J39" s="35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40"/>
      <c r="CJ39" s="40"/>
      <c r="CK39" s="40"/>
      <c r="CL39" s="40"/>
      <c r="CM39" s="40"/>
      <c r="CN39" s="40"/>
      <c r="CO39" s="40"/>
      <c r="CP39" s="40"/>
      <c r="CQ39" s="40"/>
      <c r="CR39" s="40"/>
      <c r="CS39" s="40"/>
      <c r="CT39" s="40"/>
      <c r="CU39" s="40"/>
      <c r="CV39" s="40"/>
      <c r="CW39" s="40"/>
      <c r="CX39" s="40"/>
      <c r="CY39" s="40"/>
      <c r="CZ39" s="40"/>
      <c r="DA39" s="40"/>
      <c r="DB39" s="40"/>
      <c r="DC39" s="40"/>
      <c r="DD39" s="40"/>
      <c r="DE39" s="40"/>
      <c r="DF39" s="40"/>
      <c r="DG39" s="40"/>
      <c r="DH39" s="40"/>
      <c r="DI39" s="40"/>
      <c r="DJ39" s="47"/>
    </row>
    <row r="40" spans="2:114" x14ac:dyDescent="0.25">
      <c r="B40" s="35" t="s">
        <v>24</v>
      </c>
      <c r="C40" s="9"/>
      <c r="D40" s="9" t="s">
        <v>28</v>
      </c>
      <c r="E40" s="9">
        <v>4</v>
      </c>
      <c r="F40" s="7">
        <v>0</v>
      </c>
      <c r="G40" s="14">
        <v>46338</v>
      </c>
      <c r="H40" s="33">
        <v>46342</v>
      </c>
      <c r="I40" s="37"/>
      <c r="J40" s="35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40"/>
      <c r="CJ40" s="40"/>
      <c r="CK40" s="40"/>
      <c r="CL40" s="40"/>
      <c r="CM40" s="40"/>
      <c r="CN40" s="40"/>
      <c r="CO40" s="40"/>
      <c r="CP40" s="40"/>
      <c r="CQ40" s="40"/>
      <c r="CR40" s="40"/>
      <c r="CS40" s="40"/>
      <c r="CT40" s="40"/>
      <c r="CU40" s="40"/>
      <c r="CV40" s="40"/>
      <c r="CW40" s="40"/>
      <c r="CX40" s="40"/>
      <c r="CY40" s="40"/>
      <c r="CZ40" s="40"/>
      <c r="DA40" s="40"/>
      <c r="DB40" s="40"/>
      <c r="DC40" s="40"/>
      <c r="DD40" s="40"/>
      <c r="DE40" s="40"/>
      <c r="DF40" s="40"/>
      <c r="DG40" s="40"/>
      <c r="DH40" s="40"/>
      <c r="DI40" s="40"/>
      <c r="DJ40" s="47"/>
    </row>
    <row r="41" spans="2:114" x14ac:dyDescent="0.25">
      <c r="B41" s="36"/>
      <c r="C41" s="25"/>
      <c r="D41" s="24"/>
      <c r="E41" s="24"/>
      <c r="F41" s="25"/>
      <c r="G41" s="24"/>
      <c r="H41" s="26"/>
      <c r="I41" s="37"/>
      <c r="J41" s="36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48"/>
      <c r="CJ41" s="48"/>
      <c r="CK41" s="48"/>
      <c r="CL41" s="48"/>
      <c r="CM41" s="48"/>
      <c r="CN41" s="48"/>
      <c r="CO41" s="48"/>
      <c r="CP41" s="48"/>
      <c r="CQ41" s="48"/>
      <c r="CR41" s="48"/>
      <c r="CS41" s="48"/>
      <c r="CT41" s="48"/>
      <c r="CU41" s="48"/>
      <c r="CV41" s="48"/>
      <c r="CW41" s="48"/>
      <c r="CX41" s="48"/>
      <c r="CY41" s="48"/>
      <c r="CZ41" s="48"/>
      <c r="DA41" s="48"/>
      <c r="DB41" s="48"/>
      <c r="DC41" s="48"/>
      <c r="DD41" s="48"/>
      <c r="DE41" s="48"/>
      <c r="DF41" s="48"/>
      <c r="DG41" s="48"/>
      <c r="DH41" s="48"/>
      <c r="DI41" s="48"/>
      <c r="DJ41" s="49"/>
    </row>
    <row r="42" spans="2:114" x14ac:dyDescent="0.25">
      <c r="D42" s="52" t="s">
        <v>40</v>
      </c>
      <c r="E42" s="52">
        <f>E8+E17+E25+E31+E38</f>
        <v>175</v>
      </c>
    </row>
    <row r="44" spans="2:114" x14ac:dyDescent="0.25">
      <c r="B44" s="35" t="s">
        <v>34</v>
      </c>
      <c r="C44" s="55"/>
    </row>
  </sheetData>
  <mergeCells count="18">
    <mergeCell ref="BN5:BT5"/>
    <mergeCell ref="BU5:CA5"/>
    <mergeCell ref="AE5:AK5"/>
    <mergeCell ref="G6:H6"/>
    <mergeCell ref="D6:F6"/>
    <mergeCell ref="J5:P5"/>
    <mergeCell ref="Q5:W5"/>
    <mergeCell ref="X5:AD5"/>
    <mergeCell ref="B3:H3"/>
    <mergeCell ref="AL5:AR5"/>
    <mergeCell ref="AS5:AY5"/>
    <mergeCell ref="AZ5:BF5"/>
    <mergeCell ref="BG5:BM5"/>
    <mergeCell ref="CI5:CO5"/>
    <mergeCell ref="CP5:CV5"/>
    <mergeCell ref="CW5:DC5"/>
    <mergeCell ref="DD5:DJ5"/>
    <mergeCell ref="CB5:CH5"/>
  </mergeCells>
  <conditionalFormatting sqref="F41">
    <cfRule type="dataBar" priority="1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{4693AAE6-A968-4577-8259-B5517147BD0B}</x14:id>
        </ext>
      </extLst>
    </cfRule>
  </conditionalFormatting>
  <conditionalFormatting sqref="J18:M18 J8:DJ17 J19:DJ41 O18:DJ18">
    <cfRule type="expression" dxfId="4" priority="10">
      <formula>AND(J$6&gt;=$G8, J$6&lt;=((($H8-$G8+1)*$F8)+$G8-1))</formula>
    </cfRule>
    <cfRule type="expression" dxfId="3" priority="11">
      <formula>AND(J$6&gt;=$G8, J$6&lt;=$H8)</formula>
    </cfRule>
  </conditionalFormatting>
  <conditionalFormatting sqref="J4">
    <cfRule type="expression" dxfId="2" priority="17">
      <formula>AND(N$6&gt;=$G18, N$6&lt;=((($H18-$G18+1)*$F18)+$G18-1))</formula>
    </cfRule>
    <cfRule type="expression" dxfId="1" priority="18">
      <formula>AND(N$6&gt;=$G18, N$6&lt;=$H18)</formula>
    </cfRule>
  </conditionalFormatting>
  <conditionalFormatting sqref="J8:DJ41">
    <cfRule type="expression" dxfId="0" priority="9">
      <formula>J$6=TODAY()</formula>
    </cfRule>
  </conditionalFormatting>
  <conditionalFormatting sqref="F8:F12 F32:F37 F25:F30">
    <cfRule type="dataBar" priority="8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{195AB4B8-1354-4D48-B390-689803F9EA97}</x14:id>
        </ext>
      </extLst>
    </cfRule>
  </conditionalFormatting>
  <conditionalFormatting sqref="F17:F21">
    <cfRule type="dataBar" priority="7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{476872CB-41B9-45B5-98C7-56FAECEB8CFF}</x14:id>
        </ext>
      </extLst>
    </cfRule>
  </conditionalFormatting>
  <conditionalFormatting sqref="F13:F15">
    <cfRule type="dataBar" priority="6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{CDCBC34F-837A-4DB0-96DB-58080B940EB3}</x14:id>
        </ext>
      </extLst>
    </cfRule>
  </conditionalFormatting>
  <conditionalFormatting sqref="F16">
    <cfRule type="dataBar" priority="5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{744AE6C3-5BD7-44DF-928F-636D2F260202}</x14:id>
        </ext>
      </extLst>
    </cfRule>
  </conditionalFormatting>
  <conditionalFormatting sqref="F22:F24">
    <cfRule type="dataBar" priority="4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{AA7D227D-CF25-45FD-8854-193CB649A9D8}</x14:id>
        </ext>
      </extLst>
    </cfRule>
  </conditionalFormatting>
  <conditionalFormatting sqref="F31">
    <cfRule type="dataBar" priority="3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{B202A320-8915-4706-9427-48C037FB0208}</x14:id>
        </ext>
      </extLst>
    </cfRule>
  </conditionalFormatting>
  <conditionalFormatting sqref="F38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{53D00B96-155C-45D2-9A8A-0FE3A2E085FF}</x14:id>
        </ext>
      </extLst>
    </cfRule>
  </conditionalFormatting>
  <conditionalFormatting sqref="F39:F40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{DE5E10DB-F79B-4162-A1C1-C82B6C247812}</x14:id>
        </ext>
      </extLst>
    </cfRule>
  </conditionalFormatting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Scroll Bar 1">
              <controlPr defaultSize="0" autoPict="0">
                <anchor moveWithCells="1">
                  <from>
                    <xdr:col>3</xdr:col>
                    <xdr:colOff>0</xdr:colOff>
                    <xdr:row>3</xdr:row>
                    <xdr:rowOff>209550</xdr:rowOff>
                  </from>
                  <to>
                    <xdr:col>8</xdr:col>
                    <xdr:colOff>0</xdr:colOff>
                    <xdr:row>4</xdr:row>
                    <xdr:rowOff>276225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693AAE6-A968-4577-8259-B5517147BD0B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F41</xm:sqref>
        </x14:conditionalFormatting>
        <x14:conditionalFormatting xmlns:xm="http://schemas.microsoft.com/office/excel/2006/main">
          <x14:cfRule type="dataBar" id="{195AB4B8-1354-4D48-B390-689803F9EA97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F8:F12 F32:F37 F25:F30</xm:sqref>
        </x14:conditionalFormatting>
        <x14:conditionalFormatting xmlns:xm="http://schemas.microsoft.com/office/excel/2006/main">
          <x14:cfRule type="dataBar" id="{476872CB-41B9-45B5-98C7-56FAECEB8C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F17:F21</xm:sqref>
        </x14:conditionalFormatting>
        <x14:conditionalFormatting xmlns:xm="http://schemas.microsoft.com/office/excel/2006/main">
          <x14:cfRule type="dataBar" id="{CDCBC34F-837A-4DB0-96DB-58080B940EB3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F13:F15</xm:sqref>
        </x14:conditionalFormatting>
        <x14:conditionalFormatting xmlns:xm="http://schemas.microsoft.com/office/excel/2006/main">
          <x14:cfRule type="dataBar" id="{744AE6C3-5BD7-44DF-928F-636D2F26020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</xm:sqref>
        </x14:conditionalFormatting>
        <x14:conditionalFormatting xmlns:xm="http://schemas.microsoft.com/office/excel/2006/main">
          <x14:cfRule type="dataBar" id="{AA7D227D-CF25-45FD-8854-193CB649A9D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F22:F24</xm:sqref>
        </x14:conditionalFormatting>
        <x14:conditionalFormatting xmlns:xm="http://schemas.microsoft.com/office/excel/2006/main">
          <x14:cfRule type="dataBar" id="{B202A320-8915-4706-9427-48C037FB0208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F31</xm:sqref>
        </x14:conditionalFormatting>
        <x14:conditionalFormatting xmlns:xm="http://schemas.microsoft.com/office/excel/2006/main">
          <x14:cfRule type="dataBar" id="{53D00B96-155C-45D2-9A8A-0FE3A2E085F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F38</xm:sqref>
        </x14:conditionalFormatting>
        <x14:conditionalFormatting xmlns:xm="http://schemas.microsoft.com/office/excel/2006/main">
          <x14:cfRule type="dataBar" id="{DE5E10DB-F79B-4162-A1C1-C82B6C247812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F39:F40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venieri</dc:creator>
  <cp:lastModifiedBy>gabriel venieri</cp:lastModifiedBy>
  <dcterms:created xsi:type="dcterms:W3CDTF">2026-04-12T01:05:52Z</dcterms:created>
  <dcterms:modified xsi:type="dcterms:W3CDTF">2026-09-15T15:22:03Z</dcterms:modified>
</cp:coreProperties>
</file>